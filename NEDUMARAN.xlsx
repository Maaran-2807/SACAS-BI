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tables/table4.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hidePivotFieldList="1" defaultThemeVersion="153222"/>
  <mc:AlternateContent xmlns:mc="http://schemas.openxmlformats.org/markup-compatibility/2006">
    <mc:Choice Requires="x15">
      <x15ac:absPath xmlns:x15ac="http://schemas.microsoft.com/office/spreadsheetml/2010/11/ac" url="C:\Users\DELL\Desktop\"/>
    </mc:Choice>
  </mc:AlternateContent>
  <bookViews>
    <workbookView xWindow="0" yWindow="0" windowWidth="11085" windowHeight="7755" tabRatio="756" firstSheet="8" activeTab="19"/>
  </bookViews>
  <sheets>
    <sheet name="Vlookup" sheetId="4" r:id="rId1"/>
    <sheet name="Date Functions" sheetId="6" r:id="rId2"/>
    <sheet name="Arithmetic logical functions" sheetId="7" r:id="rId3"/>
    <sheet name="Task" sheetId="5" r:id="rId4"/>
    <sheet name="Concatenate" sheetId="1" r:id="rId5"/>
    <sheet name="Pivot" sheetId="9" r:id="rId6"/>
    <sheet name="Database functions" sheetId="13" r:id="rId7"/>
    <sheet name="Worksheet" sheetId="2" r:id="rId8"/>
    <sheet name="Charts" sheetId="8" r:id="rId9"/>
    <sheet name="DATA VISUALIZATION" sheetId="14" r:id="rId10"/>
    <sheet name="PIE CHART" sheetId="20" r:id="rId11"/>
    <sheet name="Data tab" sheetId="21" r:id="rId12"/>
    <sheet name="Payment functions" sheetId="3" r:id="rId13"/>
    <sheet name="statistical analysis" sheetId="22" r:id="rId14"/>
    <sheet name="dynamic and advance set" sheetId="23" r:id="rId15"/>
    <sheet name="Scenario Summary" sheetId="26" r:id="rId16"/>
    <sheet name="Sheet2" sheetId="24" r:id="rId17"/>
    <sheet name="Sheet3" sheetId="25" r:id="rId18"/>
    <sheet name="Sheet1" sheetId="27" r:id="rId19"/>
    <sheet name="Sheet4" sheetId="28" r:id="rId20"/>
  </sheets>
  <definedNames>
    <definedName name="_xlcn.WorksheetConnection_Sheet7A2K17" hidden="1">'PIE CHART'!$A$2:$K$17</definedName>
    <definedName name="NativeTimeline_Date">#N/A</definedName>
    <definedName name="NativeTimeline_Date1">#N/A</definedName>
    <definedName name="Slicer_Date">#N/A</definedName>
    <definedName name="Slicer_Product">#N/A</definedName>
    <definedName name="Slicer_Product1">#N/A</definedName>
    <definedName name="Slicer_Region">#N/A</definedName>
    <definedName name="Slicer_Region1">#N/A</definedName>
    <definedName name="Slicer_Sales">#N/A</definedName>
  </definedNames>
  <calcPr calcId="152511"/>
  <pivotCaches>
    <pivotCache cacheId="0" r:id="rId21"/>
    <pivotCache cacheId="1" r:id="rId22"/>
    <pivotCache cacheId="2" r:id="rId23"/>
    <pivotCache cacheId="3" r:id="rId24"/>
    <pivotCache cacheId="4" r:id="rId25"/>
  </pivotCaches>
  <extLs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d272e6ad-cdc7-4e78-954e-0967d20d2f3f" name="Range" connection="WorksheetConnection_Sheet7!$A$2:$K$17"/>
        </x15:modelTables>
      </x15:dataModel>
    </ext>
  </extLst>
</workbook>
</file>

<file path=xl/calcChain.xml><?xml version="1.0" encoding="utf-8"?>
<calcChain xmlns="http://schemas.openxmlformats.org/spreadsheetml/2006/main">
  <c r="K10" i="24" l="1"/>
  <c r="K8" i="24"/>
  <c r="K9" i="24" s="1"/>
  <c r="K12" i="24" l="1"/>
  <c r="K11" i="24"/>
  <c r="C2" i="24"/>
  <c r="D2" i="24"/>
  <c r="E2" i="24"/>
  <c r="F2" i="24"/>
  <c r="C12" i="6" l="1"/>
  <c r="C11" i="6"/>
  <c r="C8" i="6"/>
  <c r="C7" i="6"/>
  <c r="C10" i="6"/>
  <c r="D10" i="6"/>
  <c r="E10" i="6"/>
  <c r="D5" i="6"/>
  <c r="C5" i="6"/>
  <c r="H5" i="22"/>
  <c r="H4" i="22"/>
  <c r="H3" i="22"/>
  <c r="H2" i="22"/>
  <c r="B5" i="3" l="1"/>
  <c r="G2" i="13"/>
  <c r="N18" i="13"/>
  <c r="K18" i="13"/>
  <c r="I18" i="13"/>
  <c r="G18" i="13"/>
  <c r="G28" i="5" l="1"/>
  <c r="M17" i="5"/>
  <c r="F21" i="13" l="1"/>
  <c r="D3" i="3"/>
  <c r="J8" i="7"/>
  <c r="J10" i="7"/>
  <c r="D7" i="7"/>
  <c r="G9" i="13"/>
  <c r="C21" i="13" l="1"/>
  <c r="B9" i="13"/>
  <c r="E10" i="13"/>
  <c r="A21" i="13"/>
  <c r="L18" i="13"/>
  <c r="A18" i="13"/>
  <c r="E18" i="13"/>
  <c r="C18" i="13"/>
  <c r="N15" i="13"/>
  <c r="N12" i="13"/>
  <c r="N9" i="13"/>
  <c r="L14" i="13"/>
  <c r="J14" i="13"/>
  <c r="H15" i="13"/>
  <c r="H14" i="13"/>
  <c r="B15" i="13"/>
  <c r="D14" i="13"/>
  <c r="D15" i="13"/>
  <c r="B14" i="13"/>
  <c r="K9" i="13"/>
  <c r="I9" i="13"/>
  <c r="E11" i="13"/>
  <c r="E9" i="13"/>
  <c r="N2" i="13"/>
  <c r="K4" i="13"/>
  <c r="K5" i="13"/>
  <c r="K6" i="13"/>
  <c r="K3" i="13"/>
  <c r="K2" i="13"/>
  <c r="E2" i="13"/>
  <c r="E3" i="13"/>
  <c r="E4" i="13"/>
  <c r="E6" i="13"/>
  <c r="E5" i="13"/>
  <c r="B4" i="13"/>
  <c r="B5" i="13"/>
  <c r="B6" i="13"/>
  <c r="B3" i="13"/>
  <c r="B2" i="13"/>
  <c r="O14" i="7" l="1"/>
  <c r="N13" i="7"/>
  <c r="N14" i="7"/>
  <c r="N12" i="7"/>
  <c r="N8" i="7"/>
  <c r="N9" i="7"/>
  <c r="H10" i="7"/>
  <c r="H11" i="7"/>
  <c r="H12" i="7"/>
  <c r="H9" i="7"/>
  <c r="E61" i="4"/>
  <c r="C61" i="4"/>
  <c r="B61" i="4"/>
  <c r="K78" i="4"/>
  <c r="K77" i="4"/>
  <c r="G29" i="5"/>
  <c r="G27" i="5"/>
  <c r="M18" i="5" l="1"/>
  <c r="M16" i="5"/>
  <c r="M15" i="5"/>
  <c r="J15" i="5"/>
  <c r="J14" i="5"/>
  <c r="J10" i="5"/>
  <c r="J13" i="5" s="1"/>
  <c r="J12" i="5"/>
  <c r="J11" i="5"/>
  <c r="H68" i="4"/>
  <c r="H9" i="4"/>
  <c r="H7" i="4"/>
  <c r="C8" i="7"/>
  <c r="B15" i="7" l="1"/>
  <c r="B14" i="7"/>
  <c r="B13" i="7"/>
  <c r="B12" i="7"/>
  <c r="B11" i="7"/>
  <c r="C11" i="7"/>
  <c r="B10" i="7"/>
  <c r="G5" i="6"/>
  <c r="G8" i="6"/>
  <c r="G7" i="6"/>
  <c r="G6" i="6"/>
  <c r="H2" i="6" l="1"/>
  <c r="G3" i="6"/>
  <c r="I2" i="6"/>
  <c r="G2" i="6"/>
  <c r="C4" i="6" l="1"/>
  <c r="C2" i="6"/>
  <c r="C3" i="6"/>
  <c r="H57" i="4"/>
  <c r="H56" i="4"/>
  <c r="H55" i="4"/>
  <c r="E78" i="4"/>
  <c r="H73" i="4"/>
  <c r="H67" i="4"/>
  <c r="G13" i="5"/>
  <c r="G11" i="5"/>
  <c r="G12" i="5"/>
  <c r="C6" i="6" l="1"/>
  <c r="C9" i="6"/>
  <c r="E5" i="6"/>
  <c r="E50" i="4"/>
  <c r="E49" i="4"/>
  <c r="E48" i="4"/>
  <c r="P3" i="5"/>
  <c r="P4" i="5"/>
  <c r="P5" i="5"/>
  <c r="P2" i="5"/>
  <c r="O2" i="5"/>
  <c r="N2" i="5"/>
  <c r="M2" i="5"/>
  <c r="L2" i="5"/>
  <c r="K3" i="5"/>
  <c r="J3" i="5"/>
  <c r="I4" i="5"/>
  <c r="I5" i="5"/>
  <c r="I6" i="5"/>
  <c r="I3" i="5"/>
  <c r="G4" i="5"/>
  <c r="G5" i="5"/>
  <c r="G6" i="5"/>
  <c r="G3" i="5"/>
  <c r="F4" i="5"/>
  <c r="F5" i="5"/>
  <c r="F6" i="5"/>
  <c r="F3" i="5"/>
  <c r="E4" i="5"/>
  <c r="H4" i="5" s="1"/>
  <c r="E5" i="5"/>
  <c r="H5" i="5" s="1"/>
  <c r="E6" i="5"/>
  <c r="H6" i="5" s="1"/>
  <c r="E3" i="5"/>
  <c r="H3" i="5" s="1"/>
  <c r="H31" i="4"/>
  <c r="E45" i="4"/>
  <c r="I29" i="4"/>
  <c r="F44" i="4"/>
  <c r="F43" i="4"/>
  <c r="C45" i="4"/>
  <c r="C44" i="4"/>
  <c r="C43" i="4"/>
  <c r="F7" i="5" l="1"/>
  <c r="J18" i="2"/>
  <c r="I18" i="2"/>
  <c r="L18" i="2" s="1"/>
  <c r="H18" i="2"/>
  <c r="M18" i="2" s="1"/>
  <c r="L17" i="2"/>
  <c r="J17" i="2"/>
  <c r="I17" i="2"/>
  <c r="K17" i="2" s="1"/>
  <c r="H17" i="2"/>
  <c r="M17" i="2" s="1"/>
  <c r="J16" i="2"/>
  <c r="L16" i="2" s="1"/>
  <c r="I16" i="2"/>
  <c r="H16" i="2"/>
  <c r="M16" i="2" s="1"/>
  <c r="J15" i="2"/>
  <c r="I15" i="2"/>
  <c r="H15" i="2"/>
  <c r="M15" i="2" s="1"/>
  <c r="J14" i="2"/>
  <c r="I14" i="2"/>
  <c r="H14" i="2"/>
  <c r="M14" i="2" s="1"/>
  <c r="K16" i="2" l="1"/>
  <c r="L14" i="2"/>
  <c r="L15" i="2"/>
  <c r="K18" i="2"/>
  <c r="K14" i="2"/>
  <c r="K15" i="2"/>
  <c r="J38" i="4"/>
  <c r="J39" i="4"/>
  <c r="J40" i="4"/>
  <c r="J41" i="4"/>
  <c r="J37" i="4"/>
  <c r="I39" i="4"/>
  <c r="I38" i="4"/>
  <c r="L38" i="4" s="1"/>
  <c r="I40" i="4"/>
  <c r="L40" i="4" s="1"/>
  <c r="I41" i="4"/>
  <c r="K41" i="4" s="1"/>
  <c r="I37" i="4"/>
  <c r="L37" i="4" s="1"/>
  <c r="H38" i="4"/>
  <c r="M38" i="4" s="1"/>
  <c r="H39" i="4"/>
  <c r="M39" i="4" s="1"/>
  <c r="H40" i="4"/>
  <c r="M40" i="4" s="1"/>
  <c r="H41" i="4"/>
  <c r="M41" i="4" s="1"/>
  <c r="H37" i="4"/>
  <c r="M37" i="4" s="1"/>
  <c r="H30" i="4"/>
  <c r="H29" i="4"/>
  <c r="F21" i="4"/>
  <c r="F23" i="4"/>
  <c r="E15" i="4"/>
  <c r="E16" i="4"/>
  <c r="E17" i="4"/>
  <c r="E18" i="4"/>
  <c r="F22" i="4"/>
  <c r="J14" i="4"/>
  <c r="J13" i="4"/>
  <c r="J12" i="4"/>
  <c r="D61" i="4"/>
  <c r="K40" i="4" l="1"/>
  <c r="K38" i="4"/>
  <c r="L41" i="4"/>
  <c r="K39" i="4"/>
  <c r="K37" i="4"/>
  <c r="L39" i="4"/>
  <c r="H8" i="4"/>
  <c r="H11" i="4" s="1"/>
  <c r="H10" i="4"/>
  <c r="H3" i="3"/>
  <c r="D5" i="3"/>
  <c r="F3" i="3"/>
  <c r="B3" i="3"/>
  <c r="H9" i="2"/>
  <c r="D24" i="1"/>
  <c r="D23" i="1"/>
  <c r="C18" i="1"/>
  <c r="H2" i="2"/>
  <c r="H4" i="2"/>
  <c r="H3" i="2"/>
  <c r="D22" i="1"/>
  <c r="H8" i="2"/>
  <c r="H7" i="2"/>
  <c r="H6" i="2"/>
  <c r="G30" i="1"/>
  <c r="G31" i="1"/>
  <c r="G32" i="1"/>
  <c r="G33" i="1"/>
  <c r="G29" i="1"/>
  <c r="F30" i="1"/>
  <c r="F31" i="1"/>
  <c r="F32" i="1"/>
  <c r="F33" i="1"/>
  <c r="F29" i="1"/>
  <c r="H49" i="1"/>
  <c r="E46" i="1"/>
  <c r="E47" i="1"/>
  <c r="E48" i="1"/>
  <c r="E49" i="1"/>
  <c r="E45" i="1"/>
  <c r="D46" i="1" l="1"/>
  <c r="D47" i="1"/>
  <c r="D48" i="1"/>
  <c r="D49" i="1"/>
  <c r="D45" i="1"/>
  <c r="K38" i="1"/>
  <c r="K39" i="1"/>
  <c r="K40" i="1"/>
  <c r="K41" i="1"/>
  <c r="K37" i="1"/>
  <c r="J38" i="1"/>
  <c r="J39" i="1"/>
  <c r="J40" i="1"/>
  <c r="J41" i="1"/>
  <c r="J37" i="1"/>
  <c r="I41" i="1"/>
  <c r="I40" i="1"/>
  <c r="I39" i="1"/>
  <c r="I38" i="1"/>
  <c r="I37" i="1"/>
  <c r="H41" i="1"/>
  <c r="H40" i="1"/>
  <c r="H39" i="1"/>
  <c r="H38" i="1"/>
  <c r="H37" i="1"/>
  <c r="E33" i="1"/>
  <c r="E32" i="1"/>
  <c r="E31" i="1"/>
  <c r="E30" i="1"/>
  <c r="E29" i="1"/>
  <c r="D33" i="1"/>
  <c r="H33" i="1" s="1"/>
  <c r="D32" i="1"/>
  <c r="H32" i="1" s="1"/>
  <c r="D31" i="1"/>
  <c r="H31" i="1" s="1"/>
  <c r="D30" i="1"/>
  <c r="H30" i="1" s="1"/>
  <c r="D29" i="1"/>
  <c r="H29" i="1" s="1"/>
  <c r="C19" i="1"/>
  <c r="F19" i="1"/>
  <c r="F18" i="1"/>
  <c r="F17" i="1"/>
  <c r="E24" i="1"/>
  <c r="C24" i="1"/>
  <c r="E23" i="1"/>
  <c r="C23" i="1"/>
  <c r="E22" i="1"/>
  <c r="C22" i="1"/>
  <c r="C17" i="1"/>
  <c r="F13" i="1"/>
  <c r="F12" i="1"/>
  <c r="F11" i="1"/>
  <c r="C11" i="1"/>
  <c r="F10" i="1"/>
  <c r="F9" i="1"/>
  <c r="C13" i="1"/>
  <c r="C12" i="1"/>
  <c r="C10" i="1"/>
  <c r="C9" i="1"/>
  <c r="E5" i="1"/>
  <c r="G5" i="1" s="1"/>
  <c r="E4" i="1"/>
  <c r="G4" i="1" s="1"/>
  <c r="E3" i="1"/>
  <c r="G3" i="1" s="1"/>
  <c r="E2" i="1"/>
  <c r="G2" i="1" s="1"/>
  <c r="D5" i="1"/>
  <c r="D4" i="1"/>
  <c r="D3" i="1"/>
  <c r="D2"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7!$A$2:$K$17" type="102" refreshedVersion="5" minRefreshableVersion="5">
    <extLst>
      <ext xmlns:x15="http://schemas.microsoft.com/office/spreadsheetml/2010/11/main" uri="{DE250136-89BD-433C-8126-D09CA5730AF9}">
        <x15:connection id="Range-d272e6ad-cdc7-4e78-954e-0967d20d2f3f" autoDelete="1">
          <x15:rangePr sourceName="_xlcn.WorksheetConnection_Sheet7A2K17"/>
        </x15:connection>
      </ext>
    </extLst>
  </connection>
</connections>
</file>

<file path=xl/sharedStrings.xml><?xml version="1.0" encoding="utf-8"?>
<sst xmlns="http://schemas.openxmlformats.org/spreadsheetml/2006/main" count="995" uniqueCount="568">
  <si>
    <t>FIRST NAME</t>
  </si>
  <si>
    <t xml:space="preserve">LAST NAME </t>
  </si>
  <si>
    <t>BHARATH</t>
  </si>
  <si>
    <t>KUMAR</t>
  </si>
  <si>
    <t>SHAKTI</t>
  </si>
  <si>
    <t>KRISHNA</t>
  </si>
  <si>
    <t>NEDU</t>
  </si>
  <si>
    <t>MARAN</t>
  </si>
  <si>
    <t>DHANUSH</t>
  </si>
  <si>
    <t>SHANKAR</t>
  </si>
  <si>
    <t>CONCATENATE WITH SPACE</t>
  </si>
  <si>
    <t>TEXT JOIN</t>
  </si>
  <si>
    <t>LENGTH OF CHATACTERS</t>
  </si>
  <si>
    <t>UPPER TO LOWER</t>
  </si>
  <si>
    <t>dayanithi</t>
  </si>
  <si>
    <t>bharath</t>
  </si>
  <si>
    <t>pradeep</t>
  </si>
  <si>
    <t>diwakar</t>
  </si>
  <si>
    <t>arun</t>
  </si>
  <si>
    <t>DAYANITHI</t>
  </si>
  <si>
    <t>PRADEEP</t>
  </si>
  <si>
    <t>DIWAKAR</t>
  </si>
  <si>
    <t>ARUN</t>
  </si>
  <si>
    <t>SUBSTITUTE</t>
  </si>
  <si>
    <t>BANENA</t>
  </si>
  <si>
    <t>PINEABPLE</t>
  </si>
  <si>
    <t>IODINT</t>
  </si>
  <si>
    <t>TRIM</t>
  </si>
  <si>
    <t>NAME LIST</t>
  </si>
  <si>
    <t>MIDDLE NAME</t>
  </si>
  <si>
    <t>LAST NAME</t>
  </si>
  <si>
    <t>HARI KESHAVAN MURTHI</t>
  </si>
  <si>
    <t>SIRIL SAM MICKAEL</t>
  </si>
  <si>
    <t>SHREE SHAKTI KRISHNA</t>
  </si>
  <si>
    <t>NAME</t>
  </si>
  <si>
    <t>ARUN   KUMAR</t>
  </si>
  <si>
    <t>BHARATH   KUMAR</t>
  </si>
  <si>
    <t>DHANUSH   SHANKAR</t>
  </si>
  <si>
    <t xml:space="preserve">                                                                                               </t>
  </si>
  <si>
    <t>NUM 1</t>
  </si>
  <si>
    <t>NUM 2</t>
  </si>
  <si>
    <t>ADDITION</t>
  </si>
  <si>
    <t>MULTIPLICATION</t>
  </si>
  <si>
    <t>SUBRACTION</t>
  </si>
  <si>
    <t>DIVISION</t>
  </si>
  <si>
    <t>STUDENT</t>
  </si>
  <si>
    <t>MATHS</t>
  </si>
  <si>
    <t>ENGLISH</t>
  </si>
  <si>
    <t>SCIENCE</t>
  </si>
  <si>
    <t>SOCIAL</t>
  </si>
  <si>
    <t>TAMIL</t>
  </si>
  <si>
    <t>SUM</t>
  </si>
  <si>
    <t>AVERAGE</t>
  </si>
  <si>
    <t>DINESH</t>
  </si>
  <si>
    <t>RAKESH</t>
  </si>
  <si>
    <t>TINA</t>
  </si>
  <si>
    <t>MINIMUM</t>
  </si>
  <si>
    <t>MAXIMUM</t>
  </si>
  <si>
    <t>NUMERATOR</t>
  </si>
  <si>
    <t>DENOMINATOR</t>
  </si>
  <si>
    <t>QUOTIENT</t>
  </si>
  <si>
    <t>MODULUS</t>
  </si>
  <si>
    <t>PRODUCT</t>
  </si>
  <si>
    <t>PRICE</t>
  </si>
  <si>
    <t>QUANTITY</t>
  </si>
  <si>
    <t>BOOKS</t>
  </si>
  <si>
    <t>BAG</t>
  </si>
  <si>
    <t>PENCIL</t>
  </si>
  <si>
    <t>PENS</t>
  </si>
  <si>
    <t>Name</t>
  </si>
  <si>
    <t>Salary</t>
  </si>
  <si>
    <t>Joining date</t>
  </si>
  <si>
    <t>email</t>
  </si>
  <si>
    <t>John</t>
  </si>
  <si>
    <t>Meera</t>
  </si>
  <si>
    <t>Priya</t>
  </si>
  <si>
    <t>Arun</t>
  </si>
  <si>
    <t>Ravi</t>
  </si>
  <si>
    <t>20-06-2019</t>
  </si>
  <si>
    <t>15-03-2021</t>
  </si>
  <si>
    <t>25-05-2020</t>
  </si>
  <si>
    <t>john.hr@company.com</t>
  </si>
  <si>
    <t>meera.it@company.com</t>
  </si>
  <si>
    <t>ravi.finance@comapny.com</t>
  </si>
  <si>
    <t>priya.it@company.com</t>
  </si>
  <si>
    <t>arun.marketing@company.com</t>
  </si>
  <si>
    <t>Lower to upper</t>
  </si>
  <si>
    <t>Extracting Year</t>
  </si>
  <si>
    <t>Dated if</t>
  </si>
  <si>
    <t xml:space="preserve">Find </t>
  </si>
  <si>
    <t>Round</t>
  </si>
  <si>
    <t>Round down</t>
  </si>
  <si>
    <t>Today (current date)</t>
  </si>
  <si>
    <t>Now (current date + time)</t>
  </si>
  <si>
    <t>Round up</t>
  </si>
  <si>
    <t>power/Square/Exponential</t>
  </si>
  <si>
    <t>CONCATENATE WITHOUT SPACE</t>
  </si>
  <si>
    <t xml:space="preserve"> PMT</t>
  </si>
  <si>
    <t>FV</t>
  </si>
  <si>
    <t>PV</t>
  </si>
  <si>
    <t>NPER</t>
  </si>
  <si>
    <t>RATE</t>
  </si>
  <si>
    <t xml:space="preserve">   </t>
  </si>
  <si>
    <t>Row Labels</t>
  </si>
  <si>
    <t>Grand Total</t>
  </si>
  <si>
    <t>Sum of MATHS</t>
  </si>
  <si>
    <t>Sum of ENGLISH</t>
  </si>
  <si>
    <t>Sum of SCIENCE</t>
  </si>
  <si>
    <t>Sum of SOCIAL</t>
  </si>
  <si>
    <t>Sum of TAMIL</t>
  </si>
  <si>
    <t>COUNT</t>
  </si>
  <si>
    <t>COUNTA</t>
  </si>
  <si>
    <t>COUNTBLANK</t>
  </si>
  <si>
    <t>COUNTIF</t>
  </si>
  <si>
    <t xml:space="preserve">  </t>
  </si>
  <si>
    <t>COMMON TABLE</t>
  </si>
  <si>
    <t>HINDI</t>
  </si>
  <si>
    <t>PRATHI</t>
  </si>
  <si>
    <t>DIVI</t>
  </si>
  <si>
    <t>SREE</t>
  </si>
  <si>
    <t>ALICE</t>
  </si>
  <si>
    <t xml:space="preserve">NAME </t>
  </si>
  <si>
    <t>SUBJECT</t>
  </si>
  <si>
    <t>HLOOKUP</t>
  </si>
  <si>
    <t>VLOOKUP</t>
  </si>
  <si>
    <t>ID</t>
  </si>
  <si>
    <t>MARKS</t>
  </si>
  <si>
    <t>EMAIL</t>
  </si>
  <si>
    <t>MOBILE NUMBER</t>
  </si>
  <si>
    <t>FUNCTIONS</t>
  </si>
  <si>
    <t>LOOKUP,VLOOKUP,TEXT JOIN</t>
  </si>
  <si>
    <t>Ramesh Kumar</t>
  </si>
  <si>
    <t>Suresh Reddy</t>
  </si>
  <si>
    <t>Priya Sharma</t>
  </si>
  <si>
    <t>Anil Mehera</t>
  </si>
  <si>
    <t>Divya Agarwal</t>
  </si>
  <si>
    <t>Maths</t>
  </si>
  <si>
    <t>Science</t>
  </si>
  <si>
    <t>English</t>
  </si>
  <si>
    <t>History</t>
  </si>
  <si>
    <t>ramesh.kumar@gmail.com</t>
  </si>
  <si>
    <t>anil.mehera@gmail.com</t>
  </si>
  <si>
    <t>suresh.reddy@yahoo.com</t>
  </si>
  <si>
    <t>priya.sharma@outlook.com</t>
  </si>
  <si>
    <t>divya.agarwal@yahoo.com</t>
  </si>
  <si>
    <t>98675-43210</t>
  </si>
  <si>
    <t>98765-12345</t>
  </si>
  <si>
    <t>91234-56789</t>
  </si>
  <si>
    <t>97654-32109</t>
  </si>
  <si>
    <t>99887-76543</t>
  </si>
  <si>
    <t xml:space="preserve">TOTAL  </t>
  </si>
  <si>
    <t>80 IN ENGLISH / NOT</t>
  </si>
  <si>
    <t>AND</t>
  </si>
  <si>
    <t>OR</t>
  </si>
  <si>
    <t>IF FUNCTION</t>
  </si>
  <si>
    <t>CONDITION 1</t>
  </si>
  <si>
    <t>CONDITION 2</t>
  </si>
  <si>
    <t>LOGICAL FUNCTIONS</t>
  </si>
  <si>
    <t>&gt;370 1ST CLASS</t>
  </si>
  <si>
    <t>&gt;70 IN SCIENCE / NOT</t>
  </si>
  <si>
    <t>STUDENT NAME</t>
  </si>
  <si>
    <t>Kumar</t>
  </si>
  <si>
    <t xml:space="preserve">Ramesh </t>
  </si>
  <si>
    <t>Sharma</t>
  </si>
  <si>
    <t>Manager</t>
  </si>
  <si>
    <t>Product</t>
  </si>
  <si>
    <t>Quatity</t>
  </si>
  <si>
    <t>Price</t>
  </si>
  <si>
    <t>Laptop</t>
  </si>
  <si>
    <t>Mouse</t>
  </si>
  <si>
    <t>Keyboard</t>
  </si>
  <si>
    <t>Monitor</t>
  </si>
  <si>
    <t>Arithmetic Function</t>
  </si>
  <si>
    <t>Total</t>
  </si>
  <si>
    <t>Sumproduct</t>
  </si>
  <si>
    <t>Quotient</t>
  </si>
  <si>
    <t>Square root</t>
  </si>
  <si>
    <t>Remainder</t>
  </si>
  <si>
    <t>Maximum</t>
  </si>
  <si>
    <t>Minimum</t>
  </si>
  <si>
    <t>Count</t>
  </si>
  <si>
    <t>Counta</t>
  </si>
  <si>
    <t>Countif</t>
  </si>
  <si>
    <t>Countblank</t>
  </si>
  <si>
    <t>Power</t>
  </si>
  <si>
    <t>DAY OF CURRENT MONTH</t>
  </si>
  <si>
    <t>CURRENT MONTH</t>
  </si>
  <si>
    <t>CURRENT YEAR</t>
  </si>
  <si>
    <t>Student</t>
  </si>
  <si>
    <t>Subject</t>
  </si>
  <si>
    <t>Marks</t>
  </si>
  <si>
    <t>Class</t>
  </si>
  <si>
    <t>Anwar</t>
  </si>
  <si>
    <t>Basha</t>
  </si>
  <si>
    <t>Caran</t>
  </si>
  <si>
    <t>Darwin</t>
  </si>
  <si>
    <t>Klinton</t>
  </si>
  <si>
    <t>Lawrence</t>
  </si>
  <si>
    <t>Jayaram</t>
  </si>
  <si>
    <t>Manish</t>
  </si>
  <si>
    <t>Neeru</t>
  </si>
  <si>
    <t>Social</t>
  </si>
  <si>
    <t>Tamil</t>
  </si>
  <si>
    <t>10B</t>
  </si>
  <si>
    <t>10A</t>
  </si>
  <si>
    <t>10C</t>
  </si>
  <si>
    <t>IF</t>
  </si>
  <si>
    <t>IFS</t>
  </si>
  <si>
    <t>COUNTIFS</t>
  </si>
  <si>
    <t>AVERAGEIFS</t>
  </si>
  <si>
    <t>Employee</t>
  </si>
  <si>
    <t>Region</t>
  </si>
  <si>
    <t>Orders</t>
  </si>
  <si>
    <t>Total Sales</t>
  </si>
  <si>
    <t>DATA SET</t>
  </si>
  <si>
    <t>Abinesh</t>
  </si>
  <si>
    <t>Clinton</t>
  </si>
  <si>
    <t>Fayaz</t>
  </si>
  <si>
    <t>East</t>
  </si>
  <si>
    <t>West</t>
  </si>
  <si>
    <t>South</t>
  </si>
  <si>
    <t>North</t>
  </si>
  <si>
    <t>Orders Taken,Employee Name ,Specific Employee</t>
  </si>
  <si>
    <t>SUMIF</t>
  </si>
  <si>
    <t>Total Orders</t>
  </si>
  <si>
    <t>All Region, 2ND Table Specific Region</t>
  </si>
  <si>
    <t>Countifs</t>
  </si>
  <si>
    <t>SOUTH</t>
  </si>
  <si>
    <t>EXACT</t>
  </si>
  <si>
    <t>MATCH &amp; INDEX</t>
  </si>
  <si>
    <t>Emp ID</t>
  </si>
  <si>
    <t>SALARY</t>
  </si>
  <si>
    <t>REFERENCE CELL</t>
  </si>
  <si>
    <t>MATCH</t>
  </si>
  <si>
    <t>INDEX</t>
  </si>
  <si>
    <t>IF EXACT</t>
  </si>
  <si>
    <t>PH NO</t>
  </si>
  <si>
    <t xml:space="preserve">UNIQUE COUNT </t>
  </si>
  <si>
    <t>Function</t>
  </si>
  <si>
    <t>Denomination</t>
  </si>
  <si>
    <t>TODAY()</t>
  </si>
  <si>
    <t>NOW()</t>
  </si>
  <si>
    <t>DAY/MONTH/YEAR</t>
  </si>
  <si>
    <t>WEEKDAY()</t>
  </si>
  <si>
    <t>TEXT()</t>
  </si>
  <si>
    <t>EOMONTH()</t>
  </si>
  <si>
    <t>DATEDIF()</t>
  </si>
  <si>
    <t>WORKDAY()</t>
  </si>
  <si>
    <t>NETWORKDAYS()</t>
  </si>
  <si>
    <t>EDATE()</t>
  </si>
  <si>
    <t>DATE()</t>
  </si>
  <si>
    <t>Todays Date</t>
  </si>
  <si>
    <t>Date + Time</t>
  </si>
  <si>
    <t>Create date</t>
  </si>
  <si>
    <t>Extract Day, Month, Year</t>
  </si>
  <si>
    <t>Day of Week(Number)</t>
  </si>
  <si>
    <t>Custom Format(Text Form)</t>
  </si>
  <si>
    <t>Add/Subtract Months</t>
  </si>
  <si>
    <t>Last Day of Month</t>
  </si>
  <si>
    <t>Date Difference</t>
  </si>
  <si>
    <t>Add Working Days</t>
  </si>
  <si>
    <t>Count working Days</t>
  </si>
  <si>
    <t xml:space="preserve"> </t>
  </si>
  <si>
    <t>Example output</t>
  </si>
  <si>
    <t>ARITHMETIC LOGICAL</t>
  </si>
  <si>
    <t>Amit</t>
  </si>
  <si>
    <t>Neha</t>
  </si>
  <si>
    <t>Rahul</t>
  </si>
  <si>
    <t>Sneha</t>
  </si>
  <si>
    <t>Loan Amount</t>
  </si>
  <si>
    <t>Rate(Annual)</t>
  </si>
  <si>
    <t>Tenure(yrs)</t>
  </si>
  <si>
    <t>Investment</t>
  </si>
  <si>
    <t>PAYMENT FUNCTIONS</t>
  </si>
  <si>
    <t>IFCONDITION</t>
  </si>
  <si>
    <t>AVERAGEIF</t>
  </si>
  <si>
    <t>DATE</t>
  </si>
  <si>
    <t>REGION</t>
  </si>
  <si>
    <t>SALES</t>
  </si>
  <si>
    <t>Pen</t>
  </si>
  <si>
    <t>Book</t>
  </si>
  <si>
    <t>pen</t>
  </si>
  <si>
    <t>Paper</t>
  </si>
  <si>
    <t>Column1</t>
  </si>
  <si>
    <t>Column2</t>
  </si>
  <si>
    <t>Column3</t>
  </si>
  <si>
    <t>NETWORK DAYS</t>
  </si>
  <si>
    <t>EDATE</t>
  </si>
  <si>
    <t>DATEDIF</t>
  </si>
  <si>
    <t>PAYMENT FUNCTONS</t>
  </si>
  <si>
    <t>PMT</t>
  </si>
  <si>
    <t>DATE FUNCTIONS</t>
  </si>
  <si>
    <t>Join Date</t>
  </si>
  <si>
    <t>Leave date</t>
  </si>
  <si>
    <t>WORKDAY</t>
  </si>
  <si>
    <t>Department</t>
  </si>
  <si>
    <t>HR</t>
  </si>
  <si>
    <t>IT</t>
  </si>
  <si>
    <t>Finance</t>
  </si>
  <si>
    <t>REVIEW &amp;VIEW TAB</t>
  </si>
  <si>
    <t>Nia</t>
  </si>
  <si>
    <t>INSERT TAB</t>
  </si>
  <si>
    <t>Sales</t>
  </si>
  <si>
    <t>SEARCH TAB</t>
  </si>
  <si>
    <t>EMP ID</t>
  </si>
  <si>
    <t>Data Tab Functions</t>
  </si>
  <si>
    <t>LOOKUP</t>
  </si>
  <si>
    <t>Date</t>
  </si>
  <si>
    <t>Column Labels</t>
  </si>
  <si>
    <t>Sum of Sales</t>
  </si>
  <si>
    <t>A</t>
  </si>
  <si>
    <t>B</t>
  </si>
  <si>
    <t>C</t>
  </si>
  <si>
    <t>D</t>
  </si>
  <si>
    <t>REPT FUNCTIONS</t>
  </si>
  <si>
    <t>text</t>
  </si>
  <si>
    <t>IF ERROR</t>
  </si>
  <si>
    <t>convert</t>
  </si>
  <si>
    <t>1) CEILING</t>
  </si>
  <si>
    <t>2) FLOOR</t>
  </si>
  <si>
    <t>3) SECOND</t>
  </si>
  <si>
    <t>4) WHOLE NUMBER</t>
  </si>
  <si>
    <t>5) NOT</t>
  </si>
  <si>
    <t>7) CHOOSE</t>
  </si>
  <si>
    <t>BLUE</t>
  </si>
  <si>
    <t>ORANGE</t>
  </si>
  <si>
    <t>RED</t>
  </si>
  <si>
    <t>8) TEXT</t>
  </si>
  <si>
    <t>9) WEEKDAY</t>
  </si>
  <si>
    <t>10) WEEKNUM</t>
  </si>
  <si>
    <t>11) ISNUMBER</t>
  </si>
  <si>
    <t>12) ISBLANK</t>
  </si>
  <si>
    <t>13) ISTEXT</t>
  </si>
  <si>
    <t>14) ISNA</t>
  </si>
  <si>
    <t>15) TYPE</t>
  </si>
  <si>
    <t>16) FACT</t>
  </si>
  <si>
    <t>17) COMBINE</t>
  </si>
  <si>
    <t>18) PERMUT</t>
  </si>
  <si>
    <t>19) LOG</t>
  </si>
  <si>
    <t>20) LOG10</t>
  </si>
  <si>
    <t>21) PI</t>
  </si>
  <si>
    <t>22) EXP</t>
  </si>
  <si>
    <t>23) CELL</t>
  </si>
  <si>
    <t>24) SEARCH</t>
  </si>
  <si>
    <t>25) CODE</t>
  </si>
  <si>
    <t>26) CHAR</t>
  </si>
  <si>
    <t>6) FIND</t>
  </si>
  <si>
    <t>27) ISOWEEKNUMBER</t>
  </si>
  <si>
    <t>28) IFERROR</t>
  </si>
  <si>
    <t>Krishna</t>
  </si>
  <si>
    <t>Dinesh</t>
  </si>
  <si>
    <t>Rakesh</t>
  </si>
  <si>
    <t>Tina</t>
  </si>
  <si>
    <t>Shankar</t>
  </si>
  <si>
    <t>Dayanithi</t>
  </si>
  <si>
    <t>Quantity</t>
  </si>
  <si>
    <t>DATA VISUALIZATION &amp; DASHBOARD CREATION</t>
  </si>
  <si>
    <t>SALES BY REGION</t>
  </si>
  <si>
    <t>Jan</t>
  </si>
  <si>
    <t>SALES TREND BY MONTH</t>
  </si>
  <si>
    <t>TOP PRODUCTS</t>
  </si>
  <si>
    <t>Sum of Quantity</t>
  </si>
  <si>
    <t>TOTAL SALES &amp; QUANTITY</t>
  </si>
  <si>
    <t>Order ID</t>
  </si>
  <si>
    <t>Salesperson</t>
  </si>
  <si>
    <t>Product Category</t>
  </si>
  <si>
    <t>Product Name</t>
  </si>
  <si>
    <t>Units Sold</t>
  </si>
  <si>
    <t>Unit Price</t>
  </si>
  <si>
    <t>Discount</t>
  </si>
  <si>
    <t>Profit</t>
  </si>
  <si>
    <t>Alice</t>
  </si>
  <si>
    <t>Electronics</t>
  </si>
  <si>
    <t>Bob</t>
  </si>
  <si>
    <t>Furniture</t>
  </si>
  <si>
    <t>Office Chair</t>
  </si>
  <si>
    <t>Charlie</t>
  </si>
  <si>
    <t>Stationery</t>
  </si>
  <si>
    <t>Notebook</t>
  </si>
  <si>
    <t>Diana</t>
  </si>
  <si>
    <t>Smartphone</t>
  </si>
  <si>
    <t>Desk</t>
  </si>
  <si>
    <t>Tablet</t>
  </si>
  <si>
    <t>Pen Pack</t>
  </si>
  <si>
    <t>Bookshelf</t>
  </si>
  <si>
    <t>Headphones</t>
  </si>
  <si>
    <t>File Folder</t>
  </si>
  <si>
    <t>Sofa</t>
  </si>
  <si>
    <t>Smartwatch</t>
  </si>
  <si>
    <t>Marker Set</t>
  </si>
  <si>
    <t>Dining Table</t>
  </si>
  <si>
    <t>Camera</t>
  </si>
  <si>
    <t>Sum of Units Sold</t>
  </si>
  <si>
    <t>Sum of Total Sales</t>
  </si>
  <si>
    <t>(I)</t>
  </si>
  <si>
    <t>(II)</t>
  </si>
  <si>
    <t>Sum of Profit</t>
  </si>
  <si>
    <t>Sum of Discount</t>
  </si>
  <si>
    <t>(III)</t>
  </si>
  <si>
    <t>(IV)</t>
  </si>
  <si>
    <t>(V)</t>
  </si>
  <si>
    <t>(VI)</t>
  </si>
  <si>
    <t/>
  </si>
  <si>
    <t>TEXT TO COLUMNS</t>
  </si>
  <si>
    <t>John Smith</t>
  </si>
  <si>
    <t>Amit Sharma</t>
  </si>
  <si>
    <t>Neha Reddy</t>
  </si>
  <si>
    <t>Rahul Mehta</t>
  </si>
  <si>
    <t>REMOVE DUPLICATES</t>
  </si>
  <si>
    <t>Cust.id</t>
  </si>
  <si>
    <t>DATA VALIDATION</t>
  </si>
  <si>
    <t>Score</t>
  </si>
  <si>
    <t>Marketing</t>
  </si>
  <si>
    <t>Smith</t>
  </si>
  <si>
    <t>Reddy</t>
  </si>
  <si>
    <t>Mehta</t>
  </si>
  <si>
    <t>MANAGER</t>
  </si>
  <si>
    <t>Priya patel</t>
  </si>
  <si>
    <t>patel</t>
  </si>
  <si>
    <t>FORECAST HISTORICAL</t>
  </si>
  <si>
    <t>Year</t>
  </si>
  <si>
    <t>TIME</t>
  </si>
  <si>
    <t>GRUP_A</t>
  </si>
  <si>
    <t>GROUP_B</t>
  </si>
  <si>
    <t>CORRELATION A VS B</t>
  </si>
  <si>
    <t>SLOPE(A VS TIME)</t>
  </si>
  <si>
    <t>INTERCEPT(A VS TIME)</t>
  </si>
  <si>
    <t>R SQUARE (A VS TIME)</t>
  </si>
  <si>
    <t>t-TEST p-VALUE (A VS B)</t>
  </si>
  <si>
    <t>month</t>
  </si>
  <si>
    <t>region</t>
  </si>
  <si>
    <t>sales</t>
  </si>
  <si>
    <t>profit</t>
  </si>
  <si>
    <t>revenue</t>
  </si>
  <si>
    <t>units sold</t>
  </si>
  <si>
    <t>jan</t>
  </si>
  <si>
    <t>feb</t>
  </si>
  <si>
    <t>mar</t>
  </si>
  <si>
    <t>apr</t>
  </si>
  <si>
    <t>may</t>
  </si>
  <si>
    <t>june</t>
  </si>
  <si>
    <t>july</t>
  </si>
  <si>
    <t>aug</t>
  </si>
  <si>
    <t>sep</t>
  </si>
  <si>
    <t>north</t>
  </si>
  <si>
    <t>east</t>
  </si>
  <si>
    <t>west</t>
  </si>
  <si>
    <t>south</t>
  </si>
  <si>
    <t>oct</t>
  </si>
  <si>
    <t>nov</t>
  </si>
  <si>
    <t>dec</t>
  </si>
  <si>
    <t>ADVERTISING SPEND</t>
  </si>
  <si>
    <t>SLOPE</t>
  </si>
  <si>
    <t>INTERCEPT</t>
  </si>
  <si>
    <t>R SQUARE</t>
  </si>
  <si>
    <t>CORRELETION</t>
  </si>
  <si>
    <t>price</t>
  </si>
  <si>
    <t>qty</t>
  </si>
  <si>
    <t>total revenue</t>
  </si>
  <si>
    <t>transporatation cost</t>
  </si>
  <si>
    <t>item cost</t>
  </si>
  <si>
    <t>totalcost</t>
  </si>
  <si>
    <t>summary output</t>
  </si>
  <si>
    <t>$K$7</t>
  </si>
  <si>
    <t>$K$11</t>
  </si>
  <si>
    <t>$K$12</t>
  </si>
  <si>
    <t>200 QTY</t>
  </si>
  <si>
    <t>Created by DELL on 10/16/2025</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</si>
  <si>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</si>
  <si>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</si>
  <si>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</si>
  <si>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</si>
  <si>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</si>
  <si>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</si>
  <si>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</si>
  <si>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AUTOMATIC TASK WITH MACROS</t>
  </si>
  <si>
    <t>HARISH</t>
  </si>
  <si>
    <t>KAVYA</t>
  </si>
  <si>
    <t>SUMATHI</t>
  </si>
  <si>
    <t>RAMESH</t>
  </si>
  <si>
    <t>LAKSHANA</t>
  </si>
  <si>
    <t>KRISHANTH</t>
  </si>
  <si>
    <t>ANITHA</t>
  </si>
  <si>
    <t>VINOTH</t>
  </si>
  <si>
    <t>DHANA</t>
  </si>
  <si>
    <t>KARTHI</t>
  </si>
  <si>
    <t>MONTH</t>
  </si>
  <si>
    <t>UNIT SOLD</t>
  </si>
  <si>
    <t>PRICE PER UNIT</t>
  </si>
  <si>
    <t>FIXED COST</t>
  </si>
  <si>
    <t>VARIABLE COST PER UNIT</t>
  </si>
  <si>
    <t>PROFIT</t>
  </si>
  <si>
    <t>JAN</t>
  </si>
  <si>
    <t>FEB</t>
  </si>
  <si>
    <t>MAR</t>
  </si>
  <si>
    <t>APR</t>
  </si>
  <si>
    <t>MAY</t>
  </si>
  <si>
    <t>JUNE</t>
  </si>
  <si>
    <t>DEPARTMENT SALES</t>
  </si>
  <si>
    <t>STATUS</t>
  </si>
  <si>
    <t>JOIN DATE</t>
  </si>
  <si>
    <t>DUE DATE</t>
  </si>
  <si>
    <t>REMARK</t>
  </si>
  <si>
    <t>VIRAT</t>
  </si>
  <si>
    <t>SMITH</t>
  </si>
  <si>
    <t>ROHIT</t>
  </si>
  <si>
    <t>ROOT</t>
  </si>
  <si>
    <t>DHONI</t>
  </si>
  <si>
    <t>GILL</t>
  </si>
  <si>
    <t>BUMRAH</t>
  </si>
  <si>
    <t>SACHIN</t>
  </si>
  <si>
    <t>DHAWAN</t>
  </si>
  <si>
    <t>PANDHYA</t>
  </si>
  <si>
    <t>FINANCE</t>
  </si>
  <si>
    <t>MARKETING</t>
  </si>
  <si>
    <t>COMPLETED</t>
  </si>
  <si>
    <t>INPROCESS</t>
  </si>
  <si>
    <t>OVERDUE</t>
  </si>
  <si>
    <t>15/2/2020</t>
  </si>
  <si>
    <t>25/3/2023</t>
  </si>
  <si>
    <t>23/5/2021</t>
  </si>
  <si>
    <t>22/8/2022</t>
  </si>
  <si>
    <t>19/7/2024</t>
  </si>
  <si>
    <t>18/10/2025</t>
  </si>
  <si>
    <t>16/12/2019</t>
  </si>
  <si>
    <t>16/2/2025</t>
  </si>
  <si>
    <t>13/5/2025</t>
  </si>
  <si>
    <t>14/4/2025</t>
  </si>
  <si>
    <t>15/3/2025</t>
  </si>
  <si>
    <t>ONTIME</t>
  </si>
  <si>
    <t>CLIENT SATISFIED</t>
  </si>
  <si>
    <t>EXCELLENT PERFORMER</t>
  </si>
  <si>
    <t>NEED REVIEW</t>
  </si>
  <si>
    <t>CUSTOMER ID</t>
  </si>
  <si>
    <t>CUSTOMER NAME</t>
  </si>
  <si>
    <t>CITY</t>
  </si>
  <si>
    <t>SEGMENT</t>
  </si>
  <si>
    <t>JOHN</t>
  </si>
  <si>
    <t>MEERA</t>
  </si>
  <si>
    <t>RAVI</t>
  </si>
  <si>
    <t>PRIYA</t>
  </si>
  <si>
    <t>DELHI</t>
  </si>
  <si>
    <t>MUMBAI</t>
  </si>
  <si>
    <t>CHENNAI</t>
  </si>
  <si>
    <t>KOLKATA</t>
  </si>
  <si>
    <t>BANGALORE</t>
  </si>
  <si>
    <t>RETAIL</t>
  </si>
  <si>
    <t>CORPORATE</t>
  </si>
  <si>
    <t>WHOLE SALE</t>
  </si>
  <si>
    <t>CO1</t>
  </si>
  <si>
    <t>CO2</t>
  </si>
  <si>
    <t>CO3</t>
  </si>
  <si>
    <t>CO4</t>
  </si>
  <si>
    <t>CO5</t>
  </si>
  <si>
    <t>PRODUCT ID</t>
  </si>
  <si>
    <t>PRODUCT NAME</t>
  </si>
  <si>
    <t>CATEGORY</t>
  </si>
  <si>
    <t>COST PRICE</t>
  </si>
  <si>
    <t>LAPTOP</t>
  </si>
  <si>
    <t>ELETRONIC</t>
  </si>
  <si>
    <t>MOBILE</t>
  </si>
  <si>
    <t>TABLET</t>
  </si>
  <si>
    <t>PRINTER</t>
  </si>
  <si>
    <t>ACCESSORIES</t>
  </si>
  <si>
    <t>P101</t>
  </si>
  <si>
    <t>P102</t>
  </si>
  <si>
    <t>P103</t>
  </si>
  <si>
    <t>P104</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</si>
</sst>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F800]dddd\,\ mmmm\ dd\,\ yyyy"/>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sz val="11"/>
      <color theme="0"/>
      <name val="Calibri"/>
      <family val="2"/>
      <scheme val="minor"/>
    </font>
    <font>
      <sz val="11"/>
      <color rgb="FF006100"/>
      <name val="Calibri"/>
      <family val="2"/>
      <scheme val="minor"/>
    </font>
    <font>
      <b/>
      <sz val="11"/>
      <color theme="1"/>
      <name val="Calibri"/>
      <family val="2"/>
      <scheme val="minor"/>
    </font>
    <font>
      <sz val="11"/>
      <color theme="1"/>
      <name val="Times New Roman"/>
      <family val="1"/>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1"/>
      <color rgb="FF000000"/>
      <name val="Calibri"/>
      <family val="2"/>
    </font>
  </fonts>
  <fills count="27">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theme="4" tint="-0.249977111117893"/>
        <bgColor indexed="64"/>
      </patternFill>
    </fill>
    <fill>
      <patternFill patternType="solid">
        <fgColor theme="4" tint="-0.249977111117893"/>
        <bgColor indexed="65"/>
      </patternFill>
    </fill>
    <fill>
      <patternFill patternType="solid">
        <fgColor rgb="FFC6EFCE"/>
      </patternFill>
    </fill>
    <fill>
      <patternFill patternType="solid">
        <fgColor rgb="FF92D050"/>
        <bgColor indexed="64"/>
      </patternFill>
    </fill>
    <fill>
      <patternFill patternType="solid">
        <fgColor rgb="FF0070C0"/>
        <bgColor indexed="64"/>
      </patternFill>
    </fill>
    <fill>
      <patternFill patternType="solid">
        <fgColor theme="9" tint="0.39997558519241921"/>
        <bgColor indexed="64"/>
      </patternFill>
    </fill>
    <fill>
      <patternFill patternType="solid">
        <fgColor theme="4"/>
        <bgColor indexed="64"/>
      </patternFill>
    </fill>
    <fill>
      <patternFill patternType="solid">
        <fgColor rgb="FFFF66FF"/>
        <bgColor indexed="64"/>
      </patternFill>
    </fill>
    <fill>
      <patternFill patternType="solid">
        <fgColor rgb="FF00B0F0"/>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bgColor indexed="64"/>
      </patternFill>
    </fill>
    <fill>
      <patternFill patternType="solid">
        <fgColor theme="3" tint="0.39997558519241921"/>
        <bgColor indexed="64"/>
      </patternFill>
    </fill>
    <fill>
      <patternFill patternType="solid">
        <fgColor theme="7" tint="0.79998168889431442"/>
        <bgColor indexed="64"/>
      </patternFill>
    </fill>
    <fill>
      <patternFill patternType="solid">
        <fgColor rgb="FFFF9999"/>
        <bgColor indexed="64"/>
      </patternFill>
    </fill>
    <fill>
      <patternFill patternType="solid">
        <fgColor theme="9" tint="0.59999389629810485"/>
        <bgColor indexed="64"/>
      </patternFill>
    </fill>
    <fill>
      <patternFill patternType="solid">
        <fgColor theme="2" tint="-0.49998474074526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bottom/>
      <diagonal/>
    </border>
    <border>
      <left style="medium">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s>
  <cellStyleXfs count="6">
    <xf numFmtId="0" fontId="0" fillId="0" borderId="0"/>
    <xf numFmtId="0" fontId="1" fillId="0" borderId="0" applyNumberFormat="0" applyFill="0" applyBorder="0" applyAlignment="0" applyProtection="0"/>
    <xf numFmtId="0" fontId="3" fillId="4" borderId="0" applyNumberFormat="0" applyBorder="0" applyAlignment="0" applyProtection="0"/>
    <xf numFmtId="0" fontId="4" fillId="5" borderId="0" applyNumberFormat="0" applyBorder="0" applyAlignment="0" applyProtection="0"/>
    <xf numFmtId="0" fontId="5" fillId="6" borderId="4" applyNumberFormat="0" applyAlignment="0" applyProtection="0"/>
    <xf numFmtId="0" fontId="7" fillId="9" borderId="0" applyNumberFormat="0" applyBorder="0" applyAlignment="0" applyProtection="0"/>
  </cellStyleXfs>
  <cellXfs count="171">
    <xf numFmtId="0" fontId="0" fillId="0" borderId="0" xfId="0"/>
    <xf numFmtId="0" fontId="0" fillId="0" borderId="1" xfId="0" applyBorder="1"/>
    <xf numFmtId="0" fontId="0" fillId="2" borderId="1" xfId="0" applyFont="1" applyFill="1" applyBorder="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Border="1"/>
    <xf numFmtId="0" fontId="0" fillId="2" borderId="0" xfId="0" applyFill="1"/>
    <xf numFmtId="0" fontId="0" fillId="3" borderId="1" xfId="0" applyFill="1" applyBorder="1"/>
    <xf numFmtId="0" fontId="0" fillId="3" borderId="1" xfId="0" applyFont="1" applyFill="1" applyBorder="1" applyAlignment="1">
      <alignment horizontal="left"/>
    </xf>
    <xf numFmtId="0" fontId="0" fillId="0" borderId="1" xfId="0" applyBorder="1" applyAlignment="1">
      <alignment horizontal="left"/>
    </xf>
    <xf numFmtId="14" fontId="0" fillId="0" borderId="1" xfId="0" applyNumberFormat="1" applyBorder="1"/>
    <xf numFmtId="22" fontId="0" fillId="0" borderId="1" xfId="0" applyNumberFormat="1" applyBorder="1"/>
    <xf numFmtId="14" fontId="0" fillId="0" borderId="1" xfId="0" applyNumberFormat="1" applyBorder="1" applyAlignment="1">
      <alignment horizontal="center"/>
    </xf>
    <xf numFmtId="0" fontId="1" fillId="0" borderId="1" xfId="1" applyBorder="1" applyAlignment="1">
      <alignment horizontal="center"/>
    </xf>
    <xf numFmtId="0" fontId="0" fillId="2" borderId="1" xfId="0" applyFill="1" applyBorder="1" applyAlignment="1">
      <alignment horizontal="center"/>
    </xf>
    <xf numFmtId="0" fontId="0" fillId="2" borderId="1" xfId="0" applyFill="1" applyBorder="1"/>
    <xf numFmtId="0" fontId="0" fillId="0" borderId="1" xfId="0" applyFill="1" applyBorder="1" applyAlignment="1">
      <alignment horizontal="center"/>
    </xf>
    <xf numFmtId="8" fontId="0" fillId="0" borderId="0" xfId="0" applyNumberFormat="1"/>
    <xf numFmtId="9" fontId="0" fillId="0" borderId="0" xfId="0" applyNumberFormat="1"/>
    <xf numFmtId="0" fontId="0" fillId="2" borderId="0" xfId="0" applyFill="1" applyAlignment="1">
      <alignment horizontal="center"/>
    </xf>
    <xf numFmtId="0" fontId="6" fillId="7" borderId="1" xfId="0" applyFont="1" applyFill="1" applyBorder="1"/>
    <xf numFmtId="0" fontId="0" fillId="0" borderId="0" xfId="0" applyFont="1"/>
    <xf numFmtId="0" fontId="0" fillId="0" borderId="0" xfId="0" applyAlignment="1"/>
    <xf numFmtId="0" fontId="6" fillId="7" borderId="1" xfId="0" applyFont="1" applyFill="1" applyBorder="1" applyAlignment="1">
      <alignment horizontal="left" vertical="center"/>
    </xf>
    <xf numFmtId="0" fontId="0" fillId="0" borderId="0" xfId="0" applyNumberFormat="1" applyBorder="1"/>
    <xf numFmtId="0" fontId="6" fillId="8" borderId="1" xfId="0" applyFont="1" applyFill="1" applyBorder="1"/>
    <xf numFmtId="0" fontId="0" fillId="0" borderId="1" xfId="0" applyNumberFormat="1" applyBorder="1" applyAlignment="1">
      <alignment horizontal="center"/>
    </xf>
    <xf numFmtId="0" fontId="3" fillId="4" borderId="1" xfId="0" applyFont="1" applyFill="1" applyBorder="1" applyAlignment="1">
      <alignment horizontal="center"/>
    </xf>
    <xf numFmtId="0" fontId="3" fillId="4" borderId="1" xfId="0" applyNumberFormat="1" applyFont="1" applyFill="1" applyBorder="1" applyAlignment="1">
      <alignment horizontal="center"/>
    </xf>
    <xf numFmtId="0" fontId="3" fillId="4" borderId="1" xfId="2" applyBorder="1"/>
    <xf numFmtId="0" fontId="2" fillId="5" borderId="1" xfId="3" applyFont="1" applyBorder="1" applyAlignment="1">
      <alignment horizontal="center"/>
    </xf>
    <xf numFmtId="0" fontId="0" fillId="7" borderId="1" xfId="0" applyFill="1" applyBorder="1" applyAlignment="1">
      <alignment horizontal="center"/>
    </xf>
    <xf numFmtId="0" fontId="3" fillId="4" borderId="1" xfId="2" applyBorder="1" applyAlignment="1">
      <alignment horizontal="center"/>
    </xf>
    <xf numFmtId="0" fontId="0" fillId="0" borderId="1" xfId="0" applyFill="1" applyBorder="1"/>
    <xf numFmtId="0" fontId="5" fillId="6" borderId="1" xfId="4"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2" borderId="9" xfId="0" applyFill="1"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applyAlignment="1">
      <alignment horizontal="center"/>
    </xf>
    <xf numFmtId="0" fontId="0" fillId="0" borderId="11" xfId="0" applyBorder="1" applyAlignment="1">
      <alignment horizontal="center"/>
    </xf>
    <xf numFmtId="0" fontId="0" fillId="0" borderId="11" xfId="0" applyBorder="1"/>
    <xf numFmtId="0" fontId="0" fillId="0" borderId="12" xfId="0" applyBorder="1"/>
    <xf numFmtId="0" fontId="7" fillId="9" borderId="1" xfId="5" applyBorder="1"/>
    <xf numFmtId="0" fontId="3" fillId="4" borderId="11" xfId="2" applyBorder="1"/>
    <xf numFmtId="0" fontId="7" fillId="9" borderId="11" xfId="5" applyBorder="1"/>
    <xf numFmtId="0" fontId="7" fillId="9" borderId="9" xfId="5" applyBorder="1"/>
    <xf numFmtId="0" fontId="7" fillId="9" borderId="12" xfId="5" applyBorder="1"/>
    <xf numFmtId="0" fontId="3" fillId="4" borderId="9" xfId="2" applyBorder="1"/>
    <xf numFmtId="0" fontId="0" fillId="0" borderId="2" xfId="0" applyFill="1" applyBorder="1"/>
    <xf numFmtId="0" fontId="0" fillId="0" borderId="2" xfId="0" applyBorder="1"/>
    <xf numFmtId="0" fontId="0" fillId="7" borderId="1" xfId="0" applyFill="1" applyBorder="1"/>
    <xf numFmtId="0" fontId="0" fillId="7" borderId="13" xfId="0" applyFill="1" applyBorder="1"/>
    <xf numFmtId="0" fontId="8" fillId="12" borderId="1" xfId="0" applyFont="1" applyFill="1" applyBorder="1" applyAlignment="1">
      <alignment horizontal="center"/>
    </xf>
    <xf numFmtId="0" fontId="0" fillId="11" borderId="1" xfId="0" applyFill="1" applyBorder="1" applyAlignment="1">
      <alignment horizontal="center"/>
    </xf>
    <xf numFmtId="0" fontId="0" fillId="0" borderId="0" xfId="0" applyBorder="1" applyAlignment="1">
      <alignment horizontal="center"/>
    </xf>
    <xf numFmtId="14" fontId="0" fillId="0" borderId="14" xfId="0" applyNumberFormat="1" applyBorder="1"/>
    <xf numFmtId="0" fontId="0" fillId="0" borderId="15" xfId="0" applyBorder="1"/>
    <xf numFmtId="0" fontId="0" fillId="0" borderId="1" xfId="0" applyBorder="1" applyAlignment="1">
      <alignment horizontal="right"/>
    </xf>
    <xf numFmtId="0" fontId="0" fillId="0" borderId="1" xfId="0" applyNumberFormat="1" applyBorder="1"/>
    <xf numFmtId="0" fontId="0" fillId="2" borderId="1" xfId="0" applyFill="1" applyBorder="1" applyAlignment="1">
      <alignment horizontal="center"/>
    </xf>
    <xf numFmtId="0" fontId="8" fillId="2" borderId="1" xfId="0" applyFont="1" applyFill="1" applyBorder="1" applyAlignment="1">
      <alignment horizontal="center"/>
    </xf>
    <xf numFmtId="0" fontId="8" fillId="15" borderId="1" xfId="0" applyFont="1" applyFill="1" applyBorder="1"/>
    <xf numFmtId="0" fontId="8" fillId="0" borderId="1" xfId="0" applyFont="1" applyBorder="1"/>
    <xf numFmtId="0" fontId="0" fillId="15" borderId="1" xfId="0" applyFill="1" applyBorder="1" applyAlignment="1">
      <alignment horizontal="center"/>
    </xf>
    <xf numFmtId="0" fontId="0" fillId="0" borderId="3" xfId="0" applyBorder="1"/>
    <xf numFmtId="0" fontId="0" fillId="0" borderId="18" xfId="0" applyBorder="1"/>
    <xf numFmtId="0" fontId="0" fillId="0" borderId="16" xfId="0" applyBorder="1"/>
    <xf numFmtId="0" fontId="0" fillId="0" borderId="19" xfId="0" applyBorder="1"/>
    <xf numFmtId="0" fontId="0" fillId="0" borderId="14" xfId="0" applyBorder="1"/>
    <xf numFmtId="0" fontId="0" fillId="0" borderId="20" xfId="0" applyBorder="1"/>
    <xf numFmtId="15" fontId="0" fillId="0" borderId="22" xfId="0" applyNumberFormat="1" applyBorder="1"/>
    <xf numFmtId="15" fontId="0" fillId="0" borderId="17" xfId="0" applyNumberFormat="1" applyBorder="1"/>
    <xf numFmtId="15" fontId="0" fillId="0" borderId="21" xfId="0" applyNumberFormat="1" applyBorder="1"/>
    <xf numFmtId="8" fontId="0" fillId="0" borderId="1" xfId="0" applyNumberFormat="1" applyBorder="1"/>
    <xf numFmtId="9" fontId="0" fillId="0" borderId="1" xfId="0" applyNumberFormat="1" applyBorder="1"/>
    <xf numFmtId="15" fontId="0" fillId="0" borderId="1" xfId="0" applyNumberFormat="1" applyBorder="1"/>
    <xf numFmtId="0" fontId="0" fillId="0" borderId="0" xfId="0" applyNumberFormat="1"/>
    <xf numFmtId="164" fontId="0" fillId="0" borderId="1" xfId="0" applyNumberFormat="1" applyBorder="1"/>
    <xf numFmtId="14" fontId="0" fillId="0" borderId="1" xfId="0" applyNumberFormat="1" applyBorder="1" applyAlignment="1">
      <alignment horizontal="right"/>
    </xf>
    <xf numFmtId="0" fontId="0" fillId="17" borderId="1" xfId="0" applyFill="1" applyBorder="1"/>
    <xf numFmtId="0" fontId="0" fillId="2" borderId="3" xfId="0" applyFill="1" applyBorder="1"/>
    <xf numFmtId="0" fontId="0" fillId="2" borderId="2" xfId="0" applyFill="1" applyBorder="1"/>
    <xf numFmtId="0" fontId="0" fillId="7" borderId="18" xfId="0" applyFill="1" applyBorder="1" applyAlignment="1">
      <alignment horizontal="center"/>
    </xf>
    <xf numFmtId="0" fontId="0" fillId="7" borderId="16" xfId="0" applyFill="1" applyBorder="1" applyAlignment="1">
      <alignment horizontal="center"/>
    </xf>
    <xf numFmtId="0" fontId="0" fillId="2" borderId="1" xfId="4" applyFont="1" applyFill="1" applyBorder="1" applyAlignment="1">
      <alignment horizontal="center"/>
    </xf>
    <xf numFmtId="0" fontId="0" fillId="0" borderId="1" xfId="0" applyBorder="1" applyAlignment="1">
      <alignment horizontal="left"/>
    </xf>
    <xf numFmtId="0" fontId="0" fillId="0" borderId="1" xfId="0" pivotButton="1" applyBorder="1"/>
    <xf numFmtId="15" fontId="0" fillId="0" borderId="1" xfId="0" applyNumberFormat="1" applyBorder="1" applyAlignment="1">
      <alignment horizontal="left" indent="1"/>
    </xf>
    <xf numFmtId="0" fontId="9" fillId="0" borderId="1" xfId="0" applyFont="1" applyBorder="1" applyAlignment="1">
      <alignment horizontal="center"/>
    </xf>
    <xf numFmtId="0" fontId="9" fillId="0" borderId="0" xfId="0" applyFont="1"/>
    <xf numFmtId="18" fontId="0" fillId="0" borderId="0" xfId="0" applyNumberFormat="1"/>
    <xf numFmtId="0" fontId="0" fillId="2" borderId="1" xfId="0" applyFill="1" applyBorder="1" applyAlignment="1">
      <alignment horizontal="center"/>
    </xf>
    <xf numFmtId="0" fontId="0" fillId="16" borderId="1" xfId="0" applyFill="1" applyBorder="1"/>
    <xf numFmtId="0" fontId="0" fillId="0" borderId="1" xfId="0" applyFont="1" applyBorder="1" applyAlignment="1">
      <alignment horizontal="center"/>
    </xf>
    <xf numFmtId="0" fontId="0" fillId="0" borderId="13" xfId="0" applyFill="1" applyBorder="1" applyAlignment="1">
      <alignment horizontal="center"/>
    </xf>
    <xf numFmtId="0" fontId="0" fillId="0" borderId="1" xfId="0" applyBorder="1" applyAlignment="1">
      <alignment horizontal="left"/>
    </xf>
    <xf numFmtId="0" fontId="0" fillId="2" borderId="1" xfId="0" applyFill="1" applyBorder="1" applyAlignment="1">
      <alignment horizontal="center"/>
    </xf>
    <xf numFmtId="0" fontId="0" fillId="7" borderId="1" xfId="0" applyFill="1" applyBorder="1" applyAlignment="1">
      <alignment horizontal="center"/>
    </xf>
    <xf numFmtId="15" fontId="0" fillId="0" borderId="1" xfId="0" applyNumberFormat="1" applyBorder="1" applyAlignment="1">
      <alignment horizontal="center"/>
    </xf>
    <xf numFmtId="0" fontId="0" fillId="0" borderId="1" xfId="0" applyBorder="1" applyAlignment="1">
      <alignment horizontal="center"/>
    </xf>
    <xf numFmtId="15" fontId="0" fillId="0" borderId="1" xfId="0" applyNumberFormat="1" applyBorder="1" applyAlignment="1">
      <alignment horizontal="left"/>
    </xf>
    <xf numFmtId="0" fontId="3" fillId="4" borderId="1" xfId="2" applyBorder="1" applyAlignment="1">
      <alignment horizontal="center" vertical="center" wrapText="1"/>
    </xf>
    <xf numFmtId="0" fontId="7" fillId="9" borderId="1" xfId="5" applyBorder="1" applyAlignment="1">
      <alignment vertical="center" wrapText="1"/>
    </xf>
    <xf numFmtId="14" fontId="7" fillId="9" borderId="1" xfId="5" applyNumberFormat="1" applyBorder="1" applyAlignment="1">
      <alignment vertical="center" wrapText="1"/>
    </xf>
    <xf numFmtId="9" fontId="7" fillId="9" borderId="1" xfId="5" applyNumberFormat="1" applyBorder="1" applyAlignment="1">
      <alignment vertical="center" wrapText="1"/>
    </xf>
    <xf numFmtId="14" fontId="0" fillId="0" borderId="1" xfId="0" applyNumberFormat="1" applyBorder="1" applyAlignment="1">
      <alignment horizontal="left"/>
    </xf>
    <xf numFmtId="0" fontId="0" fillId="0" borderId="23" xfId="0" applyFill="1" applyBorder="1" applyAlignment="1">
      <alignment horizontal="center"/>
    </xf>
    <xf numFmtId="0" fontId="0" fillId="0" borderId="0" xfId="0" applyFill="1" applyBorder="1" applyAlignment="1">
      <alignment horizontal="center"/>
    </xf>
    <xf numFmtId="0" fontId="0" fillId="0" borderId="0" xfId="0" quotePrefix="1"/>
    <xf numFmtId="0" fontId="0" fillId="0" borderId="1" xfId="0" applyBorder="1" applyAlignment="1">
      <alignment horizontal="center"/>
    </xf>
    <xf numFmtId="0" fontId="0" fillId="18" borderId="1" xfId="0" applyFill="1" applyBorder="1" applyAlignment="1"/>
    <xf numFmtId="0" fontId="0" fillId="20" borderId="1" xfId="0" applyFill="1" applyBorder="1" applyAlignment="1">
      <alignment horizontal="center"/>
    </xf>
    <xf numFmtId="0" fontId="0" fillId="19" borderId="1" xfId="0" applyFill="1" applyBorder="1" applyAlignment="1">
      <alignment horizontal="center"/>
    </xf>
    <xf numFmtId="0" fontId="0" fillId="2" borderId="24" xfId="0" applyFill="1" applyBorder="1" applyAlignment="1"/>
    <xf numFmtId="0" fontId="0" fillId="2" borderId="15" xfId="0" applyFill="1" applyBorder="1" applyAlignment="1">
      <alignment horizontal="center"/>
    </xf>
    <xf numFmtId="0" fontId="0" fillId="0" borderId="15" xfId="0" applyBorder="1" applyAlignment="1">
      <alignment horizontal="center"/>
    </xf>
    <xf numFmtId="0" fontId="0" fillId="16" borderId="1" xfId="0" applyFill="1" applyBorder="1" applyAlignment="1">
      <alignment horizontal="center"/>
    </xf>
    <xf numFmtId="0" fontId="0" fillId="22" borderId="1" xfId="0" applyFill="1" applyBorder="1"/>
    <xf numFmtId="0" fontId="0" fillId="22" borderId="3" xfId="0" applyFill="1" applyBorder="1"/>
    <xf numFmtId="0" fontId="0" fillId="22" borderId="2" xfId="0" applyFill="1" applyBorder="1"/>
    <xf numFmtId="0" fontId="0" fillId="21" borderId="18" xfId="0" applyFill="1" applyBorder="1"/>
    <xf numFmtId="0" fontId="0" fillId="21" borderId="15" xfId="0" applyFill="1" applyBorder="1"/>
    <xf numFmtId="0" fontId="0" fillId="21" borderId="16" xfId="0" applyFill="1" applyBorder="1"/>
    <xf numFmtId="0" fontId="0" fillId="22" borderId="19" xfId="0" applyFill="1" applyBorder="1"/>
    <xf numFmtId="0" fontId="0" fillId="22" borderId="14" xfId="0" applyFill="1" applyBorder="1"/>
    <xf numFmtId="0" fontId="0" fillId="22" borderId="20" xfId="0" applyFill="1" applyBorder="1"/>
    <xf numFmtId="0" fontId="0" fillId="23" borderId="1" xfId="0" applyFill="1" applyBorder="1" applyAlignment="1">
      <alignment horizontal="center"/>
    </xf>
    <xf numFmtId="0" fontId="0" fillId="0" borderId="0" xfId="0" applyAlignment="1">
      <alignment horizontal="center"/>
    </xf>
    <xf numFmtId="0" fontId="0" fillId="0" borderId="0" xfId="0" applyFill="1" applyBorder="1" applyAlignment="1"/>
    <xf numFmtId="0" fontId="0" fillId="0" borderId="26" xfId="0" applyFill="1" applyBorder="1" applyAlignment="1"/>
    <xf numFmtId="0" fontId="10" fillId="24" borderId="17" xfId="0" applyFont="1" applyFill="1" applyBorder="1" applyAlignment="1">
      <alignment horizontal="left"/>
    </xf>
    <xf numFmtId="0" fontId="10" fillId="24" borderId="25" xfId="0" applyFont="1" applyFill="1" applyBorder="1" applyAlignment="1">
      <alignment horizontal="left"/>
    </xf>
    <xf numFmtId="0" fontId="0" fillId="0" borderId="22" xfId="0" applyFill="1" applyBorder="1" applyAlignment="1"/>
    <xf numFmtId="0" fontId="11" fillId="25" borderId="0" xfId="0" applyFont="1" applyFill="1" applyBorder="1" applyAlignment="1">
      <alignment horizontal="left"/>
    </xf>
    <xf numFmtId="0" fontId="12" fillId="25" borderId="22" xfId="0" applyFont="1" applyFill="1" applyBorder="1" applyAlignment="1">
      <alignment horizontal="left"/>
    </xf>
    <xf numFmtId="0" fontId="11" fillId="25" borderId="26" xfId="0" applyFont="1" applyFill="1" applyBorder="1" applyAlignment="1">
      <alignment horizontal="left"/>
    </xf>
    <xf numFmtId="0" fontId="13" fillId="24" borderId="25" xfId="0" applyFont="1" applyFill="1" applyBorder="1" applyAlignment="1">
      <alignment horizontal="right"/>
    </xf>
    <xf numFmtId="0" fontId="13" fillId="24" borderId="17" xfId="0" applyFont="1" applyFill="1" applyBorder="1" applyAlignment="1">
      <alignment horizontal="right"/>
    </xf>
    <xf numFmtId="0" fontId="0" fillId="26" borderId="0" xfId="0" applyFill="1" applyBorder="1" applyAlignment="1"/>
    <xf numFmtId="0" fontId="14" fillId="0" borderId="0" xfId="0" applyFont="1" applyFill="1" applyBorder="1" applyAlignment="1">
      <alignment vertical="top" wrapText="1"/>
    </xf>
    <xf numFmtId="0" fontId="0" fillId="16" borderId="1" xfId="0" applyFill="1" applyBorder="1" applyAlignment="1">
      <alignment horizontal="center"/>
    </xf>
    <xf numFmtId="14" fontId="0" fillId="16" borderId="1" xfId="0" applyNumberFormat="1" applyFill="1" applyBorder="1" applyAlignment="1">
      <alignment horizontal="center"/>
    </xf>
    <xf numFmtId="0" fontId="0" fillId="0" borderId="0" xfId="0" applyAlignment="1">
      <alignment horizontal="center"/>
    </xf>
    <xf numFmtId="0" fontId="0" fillId="10" borderId="1" xfId="0" applyFill="1" applyBorder="1" applyAlignment="1">
      <alignment horizontal="center"/>
    </xf>
    <xf numFmtId="0" fontId="0" fillId="14" borderId="1" xfId="0" applyFill="1" applyBorder="1" applyAlignment="1">
      <alignment horizontal="center"/>
    </xf>
    <xf numFmtId="0" fontId="0" fillId="0" borderId="1" xfId="0" applyBorder="1" applyAlignment="1">
      <alignment horizontal="left"/>
    </xf>
    <xf numFmtId="0" fontId="0" fillId="7" borderId="1" xfId="0" applyFill="1" applyBorder="1" applyAlignment="1">
      <alignment horizontal="center"/>
    </xf>
    <xf numFmtId="0" fontId="0" fillId="7" borderId="6" xfId="0" applyFill="1" applyBorder="1" applyAlignment="1">
      <alignment horizontal="center"/>
    </xf>
    <xf numFmtId="0" fontId="0" fillId="2" borderId="5" xfId="0" applyFill="1" applyBorder="1" applyAlignment="1">
      <alignment horizontal="center"/>
    </xf>
    <xf numFmtId="0" fontId="0" fillId="2" borderId="8" xfId="0" applyFill="1" applyBorder="1" applyAlignment="1">
      <alignment horizontal="center"/>
    </xf>
    <xf numFmtId="0" fontId="8" fillId="11" borderId="1" xfId="0" applyFont="1" applyFill="1" applyBorder="1" applyAlignment="1">
      <alignment horizontal="center"/>
    </xf>
    <xf numFmtId="0" fontId="0" fillId="13" borderId="1" xfId="0" applyFill="1" applyBorder="1" applyAlignment="1">
      <alignment horizontal="center"/>
    </xf>
    <xf numFmtId="0" fontId="7" fillId="9" borderId="1" xfId="5" applyBorder="1" applyAlignment="1">
      <alignment horizontal="center"/>
    </xf>
    <xf numFmtId="0" fontId="0" fillId="2" borderId="1" xfId="0" applyFill="1" applyBorder="1" applyAlignment="1">
      <alignment horizontal="center"/>
    </xf>
    <xf numFmtId="0" fontId="0" fillId="15" borderId="2" xfId="0" applyFill="1" applyBorder="1" applyAlignment="1">
      <alignment horizontal="center"/>
    </xf>
    <xf numFmtId="0" fontId="0" fillId="15" borderId="22" xfId="0" applyFill="1" applyBorder="1" applyAlignment="1">
      <alignment horizontal="center"/>
    </xf>
    <xf numFmtId="0" fontId="0" fillId="15" borderId="3" xfId="0" applyFill="1" applyBorder="1" applyAlignment="1">
      <alignment horizontal="center"/>
    </xf>
    <xf numFmtId="0" fontId="8" fillId="15" borderId="1" xfId="0" applyFont="1" applyFill="1" applyBorder="1" applyAlignment="1">
      <alignment horizontal="center"/>
    </xf>
    <xf numFmtId="0" fontId="0" fillId="15" borderId="1" xfId="0" applyFill="1" applyBorder="1" applyAlignment="1">
      <alignment horizontal="center"/>
    </xf>
    <xf numFmtId="0" fontId="0" fillId="16" borderId="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8" fillId="18" borderId="1" xfId="0" applyFont="1" applyFill="1" applyBorder="1" applyAlignment="1">
      <alignment horizontal="center"/>
    </xf>
    <xf numFmtId="0" fontId="0" fillId="18"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23" borderId="1" xfId="0" applyFill="1" applyBorder="1" applyAlignment="1">
      <alignment horizontal="center"/>
    </xf>
  </cellXfs>
  <cellStyles count="6">
    <cellStyle name="Bad" xfId="2" builtinId="27"/>
    <cellStyle name="Good" xfId="5" builtinId="26"/>
    <cellStyle name="Hyperlink" xfId="1" builtinId="8"/>
    <cellStyle name="Input" xfId="4" builtinId="20"/>
    <cellStyle name="Neutral" xfId="3" builtinId="28"/>
    <cellStyle name="Normal" xfId="0" builtinId="0"/>
  </cellStyles>
  <dxfs count="139">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ont>
        <color rgb="FF9C0006"/>
      </font>
      <fill>
        <patternFill>
          <fgColor indexed="64"/>
          <bgColor rgb="FFFFC7CE"/>
        </patternFill>
      </fill>
    </dxf>
    <dxf>
      <font>
        <color rgb="FF006100"/>
      </font>
      <fill>
        <patternFill>
          <fgColor indexed="64"/>
          <bgColor rgb="FFC6EFCE"/>
        </patternFill>
      </fill>
    </dxf>
    <dxf>
      <fill>
        <patternFill patternType="solid">
          <fgColor indexed="64"/>
          <bgColor theme="9" tint="0.59999389629810485"/>
        </patternFill>
      </fill>
      <border diagonalUp="0" diagonalDown="0">
        <left style="thin">
          <color indexed="64"/>
        </left>
        <right/>
        <top style="thin">
          <color indexed="64"/>
        </top>
        <bottom style="thin">
          <color indexed="64"/>
        </bottom>
        <vertical/>
        <horizontal/>
      </border>
    </dxf>
    <dxf>
      <fill>
        <patternFill patternType="solid">
          <fgColor indexed="64"/>
          <bgColor theme="9"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9" tint="0.5999938962981048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9" tint="0.59999389629810485"/>
        </patternFill>
      </fill>
    </dxf>
    <dxf>
      <border outline="0">
        <bottom style="thin">
          <color indexed="64"/>
        </bottom>
      </border>
    </dxf>
    <dxf>
      <fill>
        <patternFill patternType="solid">
          <fgColor indexed="64"/>
          <bgColor rgb="FFFF9999"/>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mmm\-yy"/>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5" formatCode="d\-mmm\-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4"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val="0"/>
        <i val="0"/>
        <strike val="0"/>
        <condense val="0"/>
        <extend val="0"/>
        <outline val="0"/>
        <shadow val="0"/>
        <u val="none"/>
        <vertAlign val="baseline"/>
        <sz val="11"/>
        <color rgb="FF9C0006"/>
        <name val="Calibri"/>
        <scheme val="minor"/>
      </font>
      <fill>
        <patternFill patternType="solid">
          <fgColor indexed="65"/>
          <bgColor rgb="FFFFC7CE"/>
        </patternFill>
      </fill>
    </dxf>
    <dxf>
      <alignment horizontal="center" readingOrder="0"/>
    </dxf>
    <dxf>
      <alignment horizontal="center" readingOrder="0"/>
    </dxf>
    <dxf>
      <alignment horizontal="center" readingOrder="0"/>
    </dxf>
    <dxf>
      <alignment horizontal="center" readingOrder="0"/>
    </dxf>
    <dxf>
      <alignment wrapText="0" readingOrder="0"/>
    </dxf>
    <dxf>
      <alignment horizontal="left" readingOrder="0"/>
    </dxf>
    <dxf>
      <alignment vertical="center" readingOrder="0"/>
    </dxf>
    <dxf>
      <numFmt numFmtId="0" formatCode="General"/>
    </dxf>
    <dxf>
      <fill>
        <patternFill>
          <bgColor theme="4" tint="-0.249977111117893"/>
        </patternFill>
      </fill>
    </dxf>
    <dxf>
      <fill>
        <patternFill>
          <bgColor theme="4" tint="-0.249977111117893"/>
        </patternFill>
      </fill>
    </dxf>
    <dxf>
      <font>
        <color theme="0"/>
      </font>
    </dxf>
    <dxf>
      <font>
        <color theme="0"/>
      </font>
    </dxf>
    <dxf>
      <fill>
        <patternFill>
          <bgColor theme="1"/>
        </patternFill>
      </fill>
    </dxf>
    <dxf>
      <fill>
        <patternFill>
          <bgColor theme="1"/>
        </patternFill>
      </fill>
    </dxf>
    <dxf>
      <font>
        <b val="0"/>
        <i val="0"/>
        <strike val="0"/>
        <condense val="0"/>
        <extend val="0"/>
        <outline val="0"/>
        <shadow val="0"/>
        <u val="none"/>
        <vertAlign val="baseline"/>
        <sz val="11"/>
        <color rgb="FF9C0006"/>
        <name val="Calibri"/>
        <scheme val="minor"/>
      </font>
      <fill>
        <patternFill patternType="solid">
          <fgColor indexed="65"/>
          <bgColor rgb="FFFFC7CE"/>
        </patternFill>
      </fill>
    </dxf>
    <dxf>
      <font>
        <b val="0"/>
        <i val="0"/>
        <strike val="0"/>
        <condense val="0"/>
        <extend val="0"/>
        <outline val="0"/>
        <shadow val="0"/>
        <u val="none"/>
        <vertAlign val="baseline"/>
        <sz val="11"/>
        <color rgb="FF9C0006"/>
        <name val="Calibri"/>
        <scheme val="minor"/>
      </font>
      <fill>
        <patternFill patternType="solid">
          <fgColor indexed="65"/>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rgb="FFFA7D00"/>
        <name val="Calibri"/>
        <scheme val="minor"/>
      </font>
      <fill>
        <patternFill patternType="solid">
          <fgColor indexed="65"/>
          <bgColor rgb="FFF2F2F2"/>
        </patternFill>
      </fill>
      <border diagonalUp="0" diagonalDown="0" outline="0">
        <left style="thin">
          <color rgb="FF7F7F7F"/>
        </left>
        <right style="thin">
          <color rgb="FF7F7F7F"/>
        </right>
        <top style="thin">
          <color rgb="FF7F7F7F"/>
        </top>
        <bottom style="thin">
          <color rgb="FF7F7F7F"/>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9999"/>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11/relationships/timelineCache" Target="timelineCaches/timelineCache2.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11/relationships/timelineCache" Target="timelineCaches/timelineCache1.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[NEDUMARAN.xlsx]Pivot!PivotTable2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Pivot!$G$2:$G$3</c:f>
              <c:strCache>
                <c:ptCount val="1"/>
                <c:pt idx="0">
                  <c:v>Book</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Pivot!$F$4:$F$12</c:f>
              <c:multiLvlStrCache>
                <c:ptCount val="5"/>
                <c:lvl>
                  <c:pt idx="0">
                    <c:v>01-Jan-25</c:v>
                  </c:pt>
                  <c:pt idx="1">
                    <c:v>04-Jan-25</c:v>
                  </c:pt>
                  <c:pt idx="2">
                    <c:v>06-Jan-25</c:v>
                  </c:pt>
                  <c:pt idx="3">
                    <c:v>03-Jan-25</c:v>
                  </c:pt>
                  <c:pt idx="4">
                    <c:v>07-Jan-25</c:v>
                  </c:pt>
                </c:lvl>
                <c:lvl>
                  <c:pt idx="0">
                    <c:v>East</c:v>
                  </c:pt>
                  <c:pt idx="2">
                    <c:v>South</c:v>
                  </c:pt>
                  <c:pt idx="3">
                    <c:v>West</c:v>
                  </c:pt>
                </c:lvl>
              </c:multiLvlStrCache>
            </c:multiLvlStrRef>
          </c:cat>
          <c:val>
            <c:numRef>
              <c:f>Pivot!$G$4:$G$12</c:f>
              <c:numCache>
                <c:formatCode>General</c:formatCode>
                <c:ptCount val="5"/>
                <c:pt idx="3">
                  <c:v>200</c:v>
                </c:pt>
                <c:pt idx="4">
                  <c:v>500</c:v>
                </c:pt>
              </c:numCache>
            </c:numRef>
          </c:val>
        </c:ser>
        <c:ser>
          <c:idx val="1"/>
          <c:order val="1"/>
          <c:tx>
            <c:strRef>
              <c:f>Pivot!$H$2:$H$3</c:f>
              <c:strCache>
                <c:ptCount val="1"/>
                <c:pt idx="0">
                  <c:v>Paper</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Pivot!$F$4:$F$12</c:f>
              <c:multiLvlStrCache>
                <c:ptCount val="5"/>
                <c:lvl>
                  <c:pt idx="0">
                    <c:v>01-Jan-25</c:v>
                  </c:pt>
                  <c:pt idx="1">
                    <c:v>04-Jan-25</c:v>
                  </c:pt>
                  <c:pt idx="2">
                    <c:v>06-Jan-25</c:v>
                  </c:pt>
                  <c:pt idx="3">
                    <c:v>03-Jan-25</c:v>
                  </c:pt>
                  <c:pt idx="4">
                    <c:v>07-Jan-25</c:v>
                  </c:pt>
                </c:lvl>
                <c:lvl>
                  <c:pt idx="0">
                    <c:v>East</c:v>
                  </c:pt>
                  <c:pt idx="2">
                    <c:v>South</c:v>
                  </c:pt>
                  <c:pt idx="3">
                    <c:v>West</c:v>
                  </c:pt>
                </c:lvl>
              </c:multiLvlStrCache>
            </c:multiLvlStrRef>
          </c:cat>
          <c:val>
            <c:numRef>
              <c:f>Pivot!$H$4:$H$12</c:f>
              <c:numCache>
                <c:formatCode>General</c:formatCode>
                <c:ptCount val="5"/>
                <c:pt idx="2">
                  <c:v>300</c:v>
                </c:pt>
              </c:numCache>
            </c:numRef>
          </c:val>
        </c:ser>
        <c:ser>
          <c:idx val="2"/>
          <c:order val="2"/>
          <c:tx>
            <c:strRef>
              <c:f>Pivot!$I$2:$I$3</c:f>
              <c:strCache>
                <c:ptCount val="1"/>
                <c:pt idx="0">
                  <c:v>Pen</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Pivot!$F$4:$F$12</c:f>
              <c:multiLvlStrCache>
                <c:ptCount val="5"/>
                <c:lvl>
                  <c:pt idx="0">
                    <c:v>01-Jan-25</c:v>
                  </c:pt>
                  <c:pt idx="1">
                    <c:v>04-Jan-25</c:v>
                  </c:pt>
                  <c:pt idx="2">
                    <c:v>06-Jan-25</c:v>
                  </c:pt>
                  <c:pt idx="3">
                    <c:v>03-Jan-25</c:v>
                  </c:pt>
                  <c:pt idx="4">
                    <c:v>07-Jan-25</c:v>
                  </c:pt>
                </c:lvl>
                <c:lvl>
                  <c:pt idx="0">
                    <c:v>East</c:v>
                  </c:pt>
                  <c:pt idx="2">
                    <c:v>South</c:v>
                  </c:pt>
                  <c:pt idx="3">
                    <c:v>West</c:v>
                  </c:pt>
                </c:lvl>
              </c:multiLvlStrCache>
            </c:multiLvlStrRef>
          </c:cat>
          <c:val>
            <c:numRef>
              <c:f>Pivot!$I$4:$I$12</c:f>
              <c:numCache>
                <c:formatCode>General</c:formatCode>
                <c:ptCount val="5"/>
                <c:pt idx="0">
                  <c:v>120</c:v>
                </c:pt>
                <c:pt idx="1">
                  <c:v>150</c:v>
                </c:pt>
              </c:numCache>
            </c:numRef>
          </c:val>
        </c:ser>
        <c:dLbls>
          <c:showLegendKey val="0"/>
          <c:showVal val="1"/>
          <c:showCatName val="0"/>
          <c:showSerName val="0"/>
          <c:showPercent val="0"/>
          <c:showBubbleSize val="0"/>
        </c:dLbls>
        <c:gapWidth val="150"/>
        <c:shape val="box"/>
        <c:axId val="353117760"/>
        <c:axId val="353113056"/>
        <c:axId val="0"/>
      </c:bar3DChart>
      <c:catAx>
        <c:axId val="3531177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13056"/>
        <c:crosses val="autoZero"/>
        <c:auto val="1"/>
        <c:lblAlgn val="ctr"/>
        <c:lblOffset val="100"/>
        <c:noMultiLvlLbl val="0"/>
      </c:catAx>
      <c:valAx>
        <c:axId val="35311305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11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945603173649095"/>
          <c:y val="3.61991122191480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cat>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cat>
          <c:val>
            <c:numRef>
              <c:f>Charts!$K$32:$K$36</c:f>
              <c:numCache>
                <c:formatCode>General</c:formatCode>
                <c:ptCount val="5"/>
                <c:pt idx="0">
                  <c:v>120</c:v>
                </c:pt>
                <c:pt idx="1">
                  <c:v>200</c:v>
                </c:pt>
                <c:pt idx="2">
                  <c:v>150</c:v>
                </c:pt>
                <c:pt idx="3">
                  <c:v>300</c:v>
                </c:pt>
                <c:pt idx="4">
                  <c:v>500</c:v>
                </c:pt>
              </c:numCache>
            </c:numRef>
          </c:val>
          <c:smooth val="0"/>
        </c:ser>
        <c:dLbls>
          <c:showLegendKey val="0"/>
          <c:showVal val="0"/>
          <c:showCatName val="0"/>
          <c:showSerName val="0"/>
          <c:showPercent val="0"/>
          <c:showBubbleSize val="0"/>
        </c:dLbls>
        <c:smooth val="0"/>
        <c:axId val="353113840"/>
        <c:axId val="353118544"/>
      </c:lineChart>
      <c:catAx>
        <c:axId val="353113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18544"/>
        <c:crosses val="autoZero"/>
        <c:auto val="1"/>
        <c:lblAlgn val="ctr"/>
        <c:lblOffset val="100"/>
        <c:noMultiLvlLbl val="0"/>
      </c:catAx>
      <c:valAx>
        <c:axId val="3531185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1384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cat>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cat>
          <c:val>
            <c:numRef>
              <c:f>Charts!$K$32:$K$36</c:f>
              <c:numCache>
                <c:formatCode>General</c:formatCode>
                <c:ptCount val="5"/>
                <c:pt idx="0">
                  <c:v>120</c:v>
                </c:pt>
                <c:pt idx="1">
                  <c:v>200</c:v>
                </c:pt>
                <c:pt idx="2">
                  <c:v>150</c:v>
                </c:pt>
                <c:pt idx="3">
                  <c:v>300</c:v>
                </c:pt>
                <c:pt idx="4">
                  <c:v>500</c:v>
                </c:pt>
              </c:numCache>
            </c:numRef>
          </c:val>
        </c:ser>
        <c:dLbls>
          <c:showLegendKey val="0"/>
          <c:showVal val="0"/>
          <c:showCatName val="0"/>
          <c:showSerName val="0"/>
          <c:showPercent val="0"/>
          <c:showBubbleSize val="0"/>
        </c:dLbls>
        <c:gapWidth val="315"/>
        <c:overlap val="-40"/>
        <c:axId val="353116192"/>
        <c:axId val="353116584"/>
      </c:barChart>
      <c:catAx>
        <c:axId val="353116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16584"/>
        <c:crosses val="autoZero"/>
        <c:auto val="1"/>
        <c:lblAlgn val="ctr"/>
        <c:lblOffset val="100"/>
        <c:noMultiLvlLbl val="0"/>
      </c:catAx>
      <c:valAx>
        <c:axId val="3531165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1619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chemeClr val="accent1">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cat>
          <c:val>
            <c:numRef>
              <c:f>Charts!$K$32:$K$36</c:f>
              <c:numCache>
                <c:formatCode>General</c:formatCode>
                <c:ptCount val="5"/>
                <c:pt idx="0">
                  <c:v>120</c:v>
                </c:pt>
                <c:pt idx="1">
                  <c:v>200</c:v>
                </c:pt>
                <c:pt idx="2">
                  <c:v>150</c:v>
                </c:pt>
                <c:pt idx="3">
                  <c:v>300</c:v>
                </c:pt>
                <c:pt idx="4">
                  <c:v>500</c:v>
                </c:pt>
              </c:numCache>
            </c:numRef>
          </c:val>
        </c:ser>
        <c:dLbls>
          <c:showLegendKey val="0"/>
          <c:showVal val="1"/>
          <c:showCatName val="0"/>
          <c:showSerName val="0"/>
          <c:showPercent val="0"/>
          <c:showBubbleSize val="0"/>
        </c:dLbls>
        <c:gapWidth val="84"/>
        <c:gapDepth val="53"/>
        <c:shape val="box"/>
        <c:axId val="353114232"/>
        <c:axId val="353111488"/>
        <c:axId val="0"/>
      </c:bar3DChart>
      <c:catAx>
        <c:axId val="353114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11488"/>
        <c:crosses val="autoZero"/>
        <c:auto val="1"/>
        <c:lblAlgn val="ctr"/>
        <c:lblOffset val="100"/>
        <c:noMultiLvlLbl val="0"/>
      </c:catAx>
      <c:valAx>
        <c:axId val="353111488"/>
        <c:scaling>
          <c:orientation val="minMax"/>
        </c:scaling>
        <c:delete val="1"/>
        <c:axPos val="b"/>
        <c:numFmt formatCode="General" sourceLinked="1"/>
        <c:majorTickMark val="out"/>
        <c:minorTickMark val="none"/>
        <c:tickLblPos val="nextTo"/>
        <c:crossAx val="353114232"/>
        <c:crosses val="autoZero"/>
        <c:crossBetween val="between"/>
      </c:valAx>
      <c:spPr>
        <a:noFill/>
        <a:ln>
          <a:noFill/>
        </a:ln>
        <a:effectLst/>
      </c:spPr>
    </c:plotArea>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en-US"/>
        </a:p>
      </c:txPr>
    </c:title>
    <c:autoTitleDeleted val="0"/>
    <c:plotArea>
      <c:layout/>
      <c:radarChart>
        <c:radarStyle val="filled"/>
        <c:varyColors val="0"/>
        <c:ser>
          <c:idx val="0"/>
          <c:order val="0"/>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cat>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cat>
          <c:val>
            <c:numRef>
              <c:f>Charts!$K$32:$K$36</c:f>
              <c:numCache>
                <c:formatCode>General</c:formatCode>
                <c:ptCount val="5"/>
                <c:pt idx="0">
                  <c:v>120</c:v>
                </c:pt>
                <c:pt idx="1">
                  <c:v>200</c:v>
                </c:pt>
                <c:pt idx="2">
                  <c:v>150</c:v>
                </c:pt>
                <c:pt idx="3">
                  <c:v>300</c:v>
                </c:pt>
                <c:pt idx="4">
                  <c:v>500</c:v>
                </c:pt>
              </c:numCache>
            </c:numRef>
          </c:val>
        </c:ser>
        <c:dLbls>
          <c:showLegendKey val="0"/>
          <c:showVal val="0"/>
          <c:showCatName val="0"/>
          <c:showSerName val="0"/>
          <c:showPercent val="0"/>
          <c:showBubbleSize val="0"/>
        </c:dLbls>
        <c:axId val="353112664"/>
        <c:axId val="353111880"/>
      </c:radarChart>
      <c:catAx>
        <c:axId val="35311266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11880"/>
        <c:crosses val="autoZero"/>
        <c:auto val="1"/>
        <c:lblAlgn val="ctr"/>
        <c:lblOffset val="100"/>
        <c:noMultiLvlLbl val="0"/>
      </c:catAx>
      <c:valAx>
        <c:axId val="353111880"/>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112664"/>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cat>
          <c:val>
            <c:numRef>
              <c:f>Charts!$K$32:$K$36</c:f>
              <c:numCache>
                <c:formatCode>General</c:formatCode>
                <c:ptCount val="5"/>
                <c:pt idx="0">
                  <c:v>120</c:v>
                </c:pt>
                <c:pt idx="1">
                  <c:v>200</c:v>
                </c:pt>
                <c:pt idx="2">
                  <c:v>150</c:v>
                </c:pt>
                <c:pt idx="3">
                  <c:v>300</c:v>
                </c:pt>
                <c:pt idx="4">
                  <c:v>500</c:v>
                </c:pt>
              </c:numCache>
            </c:numRef>
          </c:val>
        </c:ser>
        <c:dLbls>
          <c:showLegendKey val="0"/>
          <c:showVal val="0"/>
          <c:showCatName val="0"/>
          <c:showSerName val="0"/>
          <c:showPercent val="0"/>
          <c:showBubbleSize val="0"/>
        </c:dLbls>
        <c:axId val="353114624"/>
        <c:axId val="353115408"/>
        <c:axId val="0"/>
      </c:area3DChart>
      <c:catAx>
        <c:axId val="35311462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15408"/>
        <c:crosses val="autoZero"/>
        <c:auto val="1"/>
        <c:lblAlgn val="ctr"/>
        <c:lblOffset val="100"/>
        <c:noMultiLvlLbl val="0"/>
      </c:catAx>
      <c:valAx>
        <c:axId val="3531154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114624"/>
        <c:crosses val="autoZero"/>
        <c:crossBetween val="midCat"/>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ubbleChart>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yVal>
            <c:numRef>
              <c:f>Worksheet!#REF!</c:f>
              <c:numCache>
                <c:formatCode>General</c:formatCode>
                <c:ptCount val="1"/>
                <c:pt idx="0">
                  <c:v>1</c:v>
                </c:pt>
              </c:numCache>
            </c:numRef>
          </c:yVal>
          <c:bubbleSize>
            <c:numRef>
              <c:f>Worksheet!#REF!</c:f>
              <c:numCache>
                <c:formatCode>General</c:formatCode>
                <c:ptCount val="1"/>
                <c:pt idx="0">
                  <c:v>1</c:v>
                </c:pt>
              </c:numCache>
            </c:numRef>
          </c:bubbleSize>
          <c:bubble3D val="1"/>
          <c:extLst>
            <c:ext xmlns:c15="http://schemas.microsoft.com/office/drawing/2012/chart" uri="{02D57815-91ED-43cb-92C2-25804820EDAC}">
              <c15:filteredSeriesTitle>
                <c15:tx>
                  <c:strRef>
                    <c:extLst>
                      <c:ext uri="{02D57815-91ED-43cb-92C2-25804820EDAC}">
                        <c15:formulaRef>
                          <c15:sqref>Worksheet!#REF!</c15:sqref>
                        </c15:formulaRef>
                      </c:ext>
                    </c:extLst>
                    <c:strCache>
                      <c:ptCount val="1"/>
                      <c:pt idx="0">
                        <c:v>#REF!</c:v>
                      </c:pt>
                    </c:strCache>
                  </c:strRef>
                </c15:tx>
              </c15:filteredSeriesTitle>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yVal>
            <c:numRef>
              <c:f>Worksheet!#REF!</c:f>
              <c:numCache>
                <c:formatCode>General</c:formatCode>
                <c:ptCount val="1"/>
                <c:pt idx="0">
                  <c:v>1</c:v>
                </c:pt>
              </c:numCache>
            </c:numRef>
          </c:yVal>
          <c:bubbleSize>
            <c:numRef>
              <c:f>Worksheet!#REF!</c:f>
              <c:numCache>
                <c:formatCode>General</c:formatCode>
                <c:ptCount val="1"/>
                <c:pt idx="0">
                  <c:v>1</c:v>
                </c:pt>
              </c:numCache>
            </c:numRef>
          </c:bubbleSize>
          <c:bubble3D val="1"/>
          <c:extLst>
            <c:ext xmlns:c15="http://schemas.microsoft.com/office/drawing/2012/chart" uri="{02D57815-91ED-43cb-92C2-25804820EDAC}">
              <c15:filteredSeriesTitle>
                <c15:tx>
                  <c:strRef>
                    <c:extLst>
                      <c:ext uri="{02D57815-91ED-43cb-92C2-25804820EDAC}">
                        <c15:formulaRef>
                          <c15:sqref>Worksheet!#REF!</c15:sqref>
                        </c15:formulaRef>
                      </c:ext>
                    </c:extLst>
                    <c:strCache>
                      <c:ptCount val="1"/>
                      <c:pt idx="0">
                        <c:v>#REF!</c:v>
                      </c:pt>
                    </c:strCache>
                  </c:strRef>
                </c15:tx>
              </c15:filteredSeriesTitle>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yVal>
            <c:numRef>
              <c:f>Worksheet!#REF!</c:f>
              <c:numCache>
                <c:formatCode>General</c:formatCode>
                <c:ptCount val="1"/>
                <c:pt idx="0">
                  <c:v>1</c:v>
                </c:pt>
              </c:numCache>
            </c:numRef>
          </c:yVal>
          <c:bubbleSize>
            <c:numLit>
              <c:formatCode>General</c:formatCode>
              <c:ptCount val="3"/>
              <c:pt idx="0">
                <c:v>1</c:v>
              </c:pt>
              <c:pt idx="1">
                <c:v>1</c:v>
              </c:pt>
              <c:pt idx="2">
                <c:v>1</c:v>
              </c:pt>
            </c:numLit>
          </c:bubbleSize>
          <c:bubble3D val="1"/>
          <c:extLst>
            <c:ext xmlns:c15="http://schemas.microsoft.com/office/drawing/2012/chart" uri="{02D57815-91ED-43cb-92C2-25804820EDAC}">
              <c15:filteredSeriesTitle>
                <c15:tx>
                  <c:strRef>
                    <c:extLst>
                      <c:ext uri="{02D57815-91ED-43cb-92C2-25804820EDAC}">
                        <c15:formulaRef>
                          <c15:sqref>Worksheet!#REF!</c15:sqref>
                        </c15:formulaRef>
                      </c:ext>
                    </c:extLst>
                    <c:strCache>
                      <c:ptCount val="1"/>
                      <c:pt idx="0">
                        <c:v>#REF!</c:v>
                      </c:pt>
                    </c:strCache>
                  </c:strRef>
                </c15:tx>
              </c15:filteredSeriesTitle>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xVal>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xVal>
          <c:yVal>
            <c:numRef>
              <c:f>Charts!$K$32:$K$36</c:f>
              <c:numCache>
                <c:formatCode>General</c:formatCode>
                <c:ptCount val="5"/>
                <c:pt idx="0">
                  <c:v>120</c:v>
                </c:pt>
                <c:pt idx="1">
                  <c:v>200</c:v>
                </c:pt>
                <c:pt idx="2">
                  <c:v>150</c:v>
                </c:pt>
                <c:pt idx="3">
                  <c:v>300</c:v>
                </c:pt>
                <c:pt idx="4">
                  <c:v>500</c:v>
                </c:pt>
              </c:numCache>
            </c:numRef>
          </c:yVal>
          <c:bubble3D val="1"/>
        </c:ser>
        <c:ser>
          <c:idx val="4"/>
          <c:order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xVal>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xVal>
          <c:yVal>
            <c:numRef>
              <c:f>Charts!$K$32:$K$36</c:f>
              <c:numCache>
                <c:formatCode>General</c:formatCode>
                <c:ptCount val="5"/>
                <c:pt idx="0">
                  <c:v>120</c:v>
                </c:pt>
                <c:pt idx="1">
                  <c:v>200</c:v>
                </c:pt>
                <c:pt idx="2">
                  <c:v>150</c:v>
                </c:pt>
                <c:pt idx="3">
                  <c:v>300</c:v>
                </c:pt>
                <c:pt idx="4">
                  <c:v>500</c:v>
                </c:pt>
              </c:numCache>
            </c:numRef>
          </c:yVal>
          <c:bubble3D val="1"/>
        </c:ser>
        <c:ser>
          <c:idx val="5"/>
          <c:order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xVal>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xVal>
          <c:yVal>
            <c:numRef>
              <c:f>Charts!$K$32:$K$36</c:f>
              <c:numCache>
                <c:formatCode>General</c:formatCode>
                <c:ptCount val="5"/>
                <c:pt idx="0">
                  <c:v>120</c:v>
                </c:pt>
                <c:pt idx="1">
                  <c:v>200</c:v>
                </c:pt>
                <c:pt idx="2">
                  <c:v>150</c:v>
                </c:pt>
                <c:pt idx="3">
                  <c:v>300</c:v>
                </c:pt>
                <c:pt idx="4">
                  <c:v>500</c:v>
                </c:pt>
              </c:numCache>
            </c:numRef>
          </c:yVal>
          <c:bubble3D val="1"/>
        </c:ser>
        <c:dLbls>
          <c:showLegendKey val="0"/>
          <c:showVal val="0"/>
          <c:showCatName val="0"/>
          <c:showSerName val="0"/>
          <c:showPercent val="0"/>
          <c:showBubbleSize val="0"/>
        </c:dLbls>
        <c:bubbleScale val="100"/>
        <c:showNegBubbles val="0"/>
        <c:axId val="254615888"/>
        <c:axId val="357184576"/>
      </c:bubbleChart>
      <c:valAx>
        <c:axId val="254615888"/>
        <c:scaling>
          <c:orientation val="minMax"/>
        </c:scaling>
        <c:delete val="0"/>
        <c:axPos val="b"/>
        <c:majorGridlines>
          <c:spPr>
            <a:ln w="9525" cap="flat" cmpd="sng" algn="ctr">
              <a:solidFill>
                <a:schemeClr val="lt1">
                  <a:lumMod val="95000"/>
                  <a:alpha val="10000"/>
                </a:schemeClr>
              </a:solidFill>
              <a:round/>
            </a:ln>
            <a:effectLst/>
          </c:spPr>
        </c:majorGridlines>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7184576"/>
        <c:crosses val="autoZero"/>
        <c:crossBetween val="midCat"/>
      </c:valAx>
      <c:valAx>
        <c:axId val="3571845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46158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multiLvlStrRef>
              <c:f>Charts!$H$32:$J$36</c:f>
              <c:multiLvlStrCache>
                <c:ptCount val="5"/>
                <c:lvl>
                  <c:pt idx="0">
                    <c:v>Pen</c:v>
                  </c:pt>
                  <c:pt idx="1">
                    <c:v>Book</c:v>
                  </c:pt>
                  <c:pt idx="2">
                    <c:v>pen</c:v>
                  </c:pt>
                  <c:pt idx="3">
                    <c:v>Paper</c:v>
                  </c:pt>
                  <c:pt idx="4">
                    <c:v>Book</c:v>
                  </c:pt>
                </c:lvl>
                <c:lvl>
                  <c:pt idx="0">
                    <c:v>East</c:v>
                  </c:pt>
                  <c:pt idx="1">
                    <c:v>West</c:v>
                  </c:pt>
                  <c:pt idx="2">
                    <c:v>East</c:v>
                  </c:pt>
                  <c:pt idx="3">
                    <c:v>South</c:v>
                  </c:pt>
                  <c:pt idx="4">
                    <c:v>West</c:v>
                  </c:pt>
                </c:lvl>
                <c:lvl>
                  <c:pt idx="0">
                    <c:v>01-Jan-25</c:v>
                  </c:pt>
                  <c:pt idx="1">
                    <c:v>03-Jan-25</c:v>
                  </c:pt>
                  <c:pt idx="2">
                    <c:v>04-Jan-25</c:v>
                  </c:pt>
                  <c:pt idx="3">
                    <c:v>06-Jan-25</c:v>
                  </c:pt>
                  <c:pt idx="4">
                    <c:v>07-Jan-25</c:v>
                  </c:pt>
                </c:lvl>
              </c:multiLvlStrCache>
            </c:multiLvlStrRef>
          </c:xVal>
          <c:yVal>
            <c:numRef>
              <c:f>Charts!$K$32:$K$36</c:f>
              <c:numCache>
                <c:formatCode>General</c:formatCode>
                <c:ptCount val="5"/>
                <c:pt idx="0">
                  <c:v>120</c:v>
                </c:pt>
                <c:pt idx="1">
                  <c:v>200</c:v>
                </c:pt>
                <c:pt idx="2">
                  <c:v>150</c:v>
                </c:pt>
                <c:pt idx="3">
                  <c:v>300</c:v>
                </c:pt>
                <c:pt idx="4">
                  <c:v>500</c:v>
                </c:pt>
              </c:numCache>
            </c:numRef>
          </c:yVal>
          <c:smooth val="1"/>
        </c:ser>
        <c:dLbls>
          <c:showLegendKey val="0"/>
          <c:showVal val="0"/>
          <c:showCatName val="0"/>
          <c:showSerName val="0"/>
          <c:showPercent val="0"/>
          <c:showBubbleSize val="0"/>
        </c:dLbls>
        <c:axId val="357189672"/>
        <c:axId val="357187712"/>
      </c:scatterChart>
      <c:valAx>
        <c:axId val="357189672"/>
        <c:scaling>
          <c:orientation val="minMax"/>
        </c:scaling>
        <c:delete val="0"/>
        <c:axPos val="b"/>
        <c:majorGridlines>
          <c:spPr>
            <a:ln w="9525" cap="flat" cmpd="sng" algn="ctr">
              <a:solidFill>
                <a:schemeClr val="dk1">
                  <a:lumMod val="65000"/>
                  <a:lumOff val="35000"/>
                  <a:alpha val="75000"/>
                </a:schemeClr>
              </a:solidFill>
              <a:round/>
            </a:ln>
            <a:effectLst/>
          </c:spPr>
        </c:majorGridlines>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7187712"/>
        <c:crosses val="autoZero"/>
        <c:crossBetween val="midCat"/>
      </c:valAx>
      <c:valAx>
        <c:axId val="35718771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7189672"/>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[NEDUMARAN.xlsx]DATA VISUALIZATION!PivotTable3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'DATA VISUALIZATION'!$B$12</c:f>
              <c:strCache>
                <c:ptCount val="1"/>
                <c:pt idx="0">
                  <c:v>Total</c:v>
                </c:pt>
              </c:strCache>
            </c:strRef>
          </c:tx>
          <c:spPr>
            <a:solidFill>
              <a:schemeClr val="accent1"/>
            </a:solidFill>
            <a:ln>
              <a:noFill/>
            </a:ln>
            <a:effectLst/>
          </c:spPr>
          <c:invertIfNegative val="0"/>
          <c:cat>
            <c:strRef>
              <c:f>'DATA VISUALIZATION'!$A$13:$A$16</c:f>
              <c:strCache>
                <c:ptCount val="3"/>
                <c:pt idx="0">
                  <c:v>East</c:v>
                </c:pt>
                <c:pt idx="1">
                  <c:v>South</c:v>
                </c:pt>
                <c:pt idx="2">
                  <c:v>West</c:v>
                </c:pt>
              </c:strCache>
            </c:strRef>
          </c:cat>
          <c:val>
            <c:numRef>
              <c:f>'DATA VISUALIZATION'!$B$13:$B$16</c:f>
              <c:numCache>
                <c:formatCode>General</c:formatCode>
                <c:ptCount val="3"/>
                <c:pt idx="0">
                  <c:v>270</c:v>
                </c:pt>
                <c:pt idx="1">
                  <c:v>300</c:v>
                </c:pt>
                <c:pt idx="2">
                  <c:v>380</c:v>
                </c:pt>
              </c:numCache>
            </c:numRef>
          </c:val>
        </c:ser>
        <c:dLbls>
          <c:showLegendKey val="0"/>
          <c:showVal val="0"/>
          <c:showCatName val="0"/>
          <c:showSerName val="0"/>
          <c:showPercent val="0"/>
          <c:showBubbleSize val="0"/>
        </c:dLbls>
        <c:gapWidth val="219"/>
        <c:overlap val="-27"/>
        <c:axId val="357192024"/>
        <c:axId val="357190848"/>
      </c:barChart>
      <c:catAx>
        <c:axId val="357192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90848"/>
        <c:crosses val="autoZero"/>
        <c:auto val="1"/>
        <c:lblAlgn val="ctr"/>
        <c:lblOffset val="100"/>
        <c:noMultiLvlLbl val="0"/>
      </c:catAx>
      <c:valAx>
        <c:axId val="357190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92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[NEDUMARAN.xlsx]DATA VISUALIZATION!PivotTable5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'DATA VISUALIZATION'!$B$20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'DATA VISUALIZATION'!$A$21:$A$22</c:f>
              <c:strCache>
                <c:ptCount val="1"/>
                <c:pt idx="0">
                  <c:v>Jan</c:v>
                </c:pt>
              </c:strCache>
            </c:strRef>
          </c:cat>
          <c:val>
            <c:numRef>
              <c:f>'DATA VISUALIZATION'!$B$21:$B$22</c:f>
              <c:numCache>
                <c:formatCode>General</c:formatCode>
                <c:ptCount val="1"/>
                <c:pt idx="0">
                  <c:v>950</c:v>
                </c:pt>
              </c:numCache>
            </c:numRef>
          </c:val>
          <c:smooth val="0"/>
        </c:ser>
        <c:dLbls>
          <c:showLegendKey val="0"/>
          <c:showVal val="0"/>
          <c:showCatName val="0"/>
          <c:showSerName val="0"/>
          <c:showPercent val="0"/>
          <c:showBubbleSize val="0"/>
        </c:dLbls>
        <c:marker val="1"/>
        <c:smooth val="0"/>
        <c:axId val="357185752"/>
        <c:axId val="357188104"/>
      </c:lineChart>
      <c:catAx>
        <c:axId val="357185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88104"/>
        <c:crosses val="autoZero"/>
        <c:auto val="1"/>
        <c:lblAlgn val="ctr"/>
        <c:lblOffset val="100"/>
        <c:noMultiLvlLbl val="0"/>
      </c:catAx>
      <c:valAx>
        <c:axId val="357188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85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[NEDUMARAN.xlsx]DATA VISUALIZATION!PivotTable7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VISUALIZATION'!$B$26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'DATA VISUALIZATION'!$A$27:$A$30</c:f>
              <c:strCache>
                <c:ptCount val="3"/>
                <c:pt idx="0">
                  <c:v>Book</c:v>
                </c:pt>
                <c:pt idx="1">
                  <c:v>Paper</c:v>
                </c:pt>
                <c:pt idx="2">
                  <c:v>Pen</c:v>
                </c:pt>
              </c:strCache>
            </c:strRef>
          </c:cat>
          <c:val>
            <c:numRef>
              <c:f>'DATA VISUALIZATION'!$B$27:$B$30</c:f>
              <c:numCache>
                <c:formatCode>General</c:formatCode>
                <c:ptCount val="3"/>
                <c:pt idx="0">
                  <c:v>380</c:v>
                </c:pt>
                <c:pt idx="1">
                  <c:v>300</c:v>
                </c:pt>
                <c:pt idx="2">
                  <c:v>270</c:v>
                </c:pt>
              </c:numCache>
            </c:numRef>
          </c:val>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[NEDUMARAN.xlsx]DATA VISUALIZATION!PivotTable9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'DATA VISUALIZATION'!$A$34</c:f>
              <c:strCache>
                <c:ptCount val="1"/>
                <c:pt idx="0">
                  <c:v>Sum of Sales</c:v>
                </c:pt>
              </c:strCache>
            </c:strRef>
          </c:tx>
          <c:spPr>
            <a:solidFill>
              <a:schemeClr val="accent1"/>
            </a:solidFill>
            <a:ln>
              <a:noFill/>
            </a:ln>
            <a:effectLst/>
          </c:spPr>
          <c:cat>
            <c:strRef>
              <c:f>'DATA VISUALIZATION'!$A$35</c:f>
              <c:strCache>
                <c:ptCount val="1"/>
                <c:pt idx="0">
                  <c:v>Total</c:v>
                </c:pt>
              </c:strCache>
            </c:strRef>
          </c:cat>
          <c:val>
            <c:numRef>
              <c:f>'DATA VISUALIZATION'!$A$35</c:f>
              <c:numCache>
                <c:formatCode>General</c:formatCode>
                <c:ptCount val="1"/>
                <c:pt idx="0">
                  <c:v>950</c:v>
                </c:pt>
              </c:numCache>
            </c:numRef>
          </c:val>
        </c:ser>
        <c:ser>
          <c:idx val="1"/>
          <c:order val="1"/>
          <c:tx>
            <c:strRef>
              <c:f>'DATA VISUALIZATION'!$B$34</c:f>
              <c:strCache>
                <c:ptCount val="1"/>
                <c:pt idx="0">
                  <c:v>Sum of Quantity</c:v>
                </c:pt>
              </c:strCache>
            </c:strRef>
          </c:tx>
          <c:spPr>
            <a:solidFill>
              <a:schemeClr val="accent2"/>
            </a:solidFill>
            <a:ln>
              <a:noFill/>
            </a:ln>
            <a:effectLst/>
          </c:spPr>
          <c:cat>
            <c:strRef>
              <c:f>'DATA VISUALIZATION'!$A$35</c:f>
              <c:strCache>
                <c:ptCount val="1"/>
                <c:pt idx="0">
                  <c:v>Total</c:v>
                </c:pt>
              </c:strCache>
            </c:strRef>
          </c:cat>
          <c:val>
            <c:numRef>
              <c:f>'DATA VISUALIZATION'!$B$35</c:f>
              <c:numCache>
                <c:formatCode>General</c:formatCode>
                <c:ptCount val="1"/>
                <c:pt idx="0">
                  <c:v>71</c:v>
                </c:pt>
              </c:numCache>
            </c:numRef>
          </c:val>
        </c:ser>
        <c:dLbls>
          <c:showLegendKey val="0"/>
          <c:showVal val="0"/>
          <c:showCatName val="0"/>
          <c:showSerName val="0"/>
          <c:showPercent val="0"/>
          <c:showBubbleSize val="0"/>
        </c:dLbls>
        <c:axId val="357186928"/>
        <c:axId val="357187320"/>
      </c:areaChart>
      <c:catAx>
        <c:axId val="357186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87320"/>
        <c:crosses val="autoZero"/>
        <c:auto val="1"/>
        <c:lblAlgn val="ctr"/>
        <c:lblOffset val="100"/>
        <c:noMultiLvlLbl val="0"/>
      </c:catAx>
      <c:valAx>
        <c:axId val="357187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86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[NEDUMARAN.xlsx]PIE CHART!PivotTable14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30816447944006997"/>
          <c:y val="0.18661971494781426"/>
          <c:w val="0.38602996500437448"/>
          <c:h val="0.67272659567256143"/>
        </c:manualLayout>
      </c:layout>
      <c:barChart>
        <c:barDir val="bar"/>
        <c:grouping val="stacked"/>
        <c:varyColors val="0"/>
        <c:ser>
          <c:idx val="0"/>
          <c:order val="0"/>
          <c:tx>
            <c:strRef>
              <c:f>'PIE CHART'!$H$20:$H$21</c:f>
              <c:strCache>
                <c:ptCount val="1"/>
                <c:pt idx="0">
                  <c:v>Electronics</c:v>
                </c:pt>
              </c:strCache>
            </c:strRef>
          </c:tx>
          <c:spPr>
            <a:solidFill>
              <a:schemeClr val="accent1"/>
            </a:solidFill>
            <a:ln>
              <a:noFill/>
            </a:ln>
            <a:effectLst/>
          </c:spPr>
          <c:invertIfNegative val="0"/>
          <c:cat>
            <c:strRef>
              <c:f>'PIE CHART'!$G$22:$G$26</c:f>
              <c:strCache>
                <c:ptCount val="4"/>
                <c:pt idx="0">
                  <c:v>Alice</c:v>
                </c:pt>
                <c:pt idx="1">
                  <c:v>Bob</c:v>
                </c:pt>
                <c:pt idx="2">
                  <c:v>Charlie</c:v>
                </c:pt>
                <c:pt idx="3">
                  <c:v>Diana</c:v>
                </c:pt>
              </c:strCache>
            </c:strRef>
          </c:cat>
          <c:val>
            <c:numRef>
              <c:f>'PIE CHART'!$H$22:$H$26</c:f>
              <c:numCache>
                <c:formatCode>General</c:formatCode>
                <c:ptCount val="4"/>
                <c:pt idx="0">
                  <c:v>15</c:v>
                </c:pt>
                <c:pt idx="1">
                  <c:v>4</c:v>
                </c:pt>
                <c:pt idx="2">
                  <c:v>3</c:v>
                </c:pt>
                <c:pt idx="3">
                  <c:v>13</c:v>
                </c:pt>
              </c:numCache>
            </c:numRef>
          </c:val>
        </c:ser>
        <c:ser>
          <c:idx val="1"/>
          <c:order val="1"/>
          <c:tx>
            <c:strRef>
              <c:f>'PIE CHART'!$I$20:$I$21</c:f>
              <c:strCache>
                <c:ptCount val="1"/>
                <c:pt idx="0">
                  <c:v>Furniture</c:v>
                </c:pt>
              </c:strCache>
            </c:strRef>
          </c:tx>
          <c:spPr>
            <a:solidFill>
              <a:schemeClr val="accent2"/>
            </a:solidFill>
            <a:ln>
              <a:noFill/>
            </a:ln>
            <a:effectLst/>
          </c:spPr>
          <c:invertIfNegative val="0"/>
          <c:cat>
            <c:strRef>
              <c:f>'PIE CHART'!$G$22:$G$26</c:f>
              <c:strCache>
                <c:ptCount val="4"/>
                <c:pt idx="0">
                  <c:v>Alice</c:v>
                </c:pt>
                <c:pt idx="1">
                  <c:v>Bob</c:v>
                </c:pt>
                <c:pt idx="2">
                  <c:v>Charlie</c:v>
                </c:pt>
                <c:pt idx="3">
                  <c:v>Diana</c:v>
                </c:pt>
              </c:strCache>
            </c:strRef>
          </c:cat>
          <c:val>
            <c:numRef>
              <c:f>'PIE CHART'!$I$22:$I$26</c:f>
              <c:numCache>
                <c:formatCode>General</c:formatCode>
                <c:ptCount val="4"/>
                <c:pt idx="0">
                  <c:v>6</c:v>
                </c:pt>
                <c:pt idx="1">
                  <c:v>11</c:v>
                </c:pt>
                <c:pt idx="2">
                  <c:v>2</c:v>
                </c:pt>
                <c:pt idx="3">
                  <c:v>3</c:v>
                </c:pt>
              </c:numCache>
            </c:numRef>
          </c:val>
        </c:ser>
        <c:ser>
          <c:idx val="2"/>
          <c:order val="2"/>
          <c:tx>
            <c:strRef>
              <c:f>'PIE CHART'!$J$20:$J$21</c:f>
              <c:strCache>
                <c:ptCount val="1"/>
                <c:pt idx="0">
                  <c:v>Stationery</c:v>
                </c:pt>
              </c:strCache>
            </c:strRef>
          </c:tx>
          <c:spPr>
            <a:solidFill>
              <a:schemeClr val="accent3"/>
            </a:solidFill>
            <a:ln>
              <a:noFill/>
            </a:ln>
            <a:effectLst/>
          </c:spPr>
          <c:invertIfNegative val="0"/>
          <c:cat>
            <c:strRef>
              <c:f>'PIE CHART'!$G$22:$G$26</c:f>
              <c:strCache>
                <c:ptCount val="4"/>
                <c:pt idx="0">
                  <c:v>Alice</c:v>
                </c:pt>
                <c:pt idx="1">
                  <c:v>Bob</c:v>
                </c:pt>
                <c:pt idx="2">
                  <c:v>Charlie</c:v>
                </c:pt>
                <c:pt idx="3">
                  <c:v>Diana</c:v>
                </c:pt>
              </c:strCache>
            </c:strRef>
          </c:cat>
          <c:val>
            <c:numRef>
              <c:f>'PIE CHART'!$J$22:$J$26</c:f>
              <c:numCache>
                <c:formatCode>General</c:formatCode>
                <c:ptCount val="4"/>
                <c:pt idx="0">
                  <c:v>80</c:v>
                </c:pt>
                <c:pt idx="1">
                  <c:v>150</c:v>
                </c:pt>
                <c:pt idx="2">
                  <c:v>300</c:v>
                </c:pt>
                <c:pt idx="3">
                  <c:v>0</c:v>
                </c:pt>
              </c:numCache>
            </c:numRef>
          </c:val>
        </c:ser>
        <c:dLbls>
          <c:showLegendKey val="0"/>
          <c:showVal val="0"/>
          <c:showCatName val="0"/>
          <c:showSerName val="0"/>
          <c:showPercent val="0"/>
          <c:showBubbleSize val="0"/>
        </c:dLbls>
        <c:gapWidth val="150"/>
        <c:overlap val="100"/>
        <c:axId val="357188888"/>
        <c:axId val="358416432"/>
      </c:barChart>
      <c:catAx>
        <c:axId val="357188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416432"/>
        <c:crosses val="autoZero"/>
        <c:auto val="1"/>
        <c:lblAlgn val="ctr"/>
        <c:lblOffset val="100"/>
        <c:noMultiLvlLbl val="0"/>
      </c:catAx>
      <c:valAx>
        <c:axId val="358416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88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58705161854769E-2"/>
          <c:y val="0.17171296296296298"/>
          <c:w val="0.87119685039370076"/>
          <c:h val="0.72088764946048411"/>
        </c:manualLayout>
      </c:layout>
      <c:scatterChart>
        <c:scatterStyle val="smoothMarker"/>
        <c:varyColors val="0"/>
        <c:ser>
          <c:idx val="0"/>
          <c:order val="0"/>
          <c:tx>
            <c:strRef>
              <c:f>'statistical analysis'!$C$2</c:f>
              <c:strCache>
                <c:ptCount val="1"/>
                <c:pt idx="0">
                  <c:v>GROUP_B</c:v>
                </c:pt>
              </c:strCache>
            </c:strRef>
          </c:tx>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movingAvg"/>
            <c:period val="2"/>
            <c:dispRSqr val="0"/>
            <c:dispEq val="0"/>
          </c:trendline>
          <c:xVal>
            <c:numRef>
              <c:f>'statistical analysis'!$B$3:$B$12</c:f>
              <c:numCache>
                <c:formatCode>General</c:formatCode>
                <c:ptCount val="10"/>
                <c:pt idx="0">
                  <c:v>74.97</c:v>
                </c:pt>
                <c:pt idx="1">
                  <c:v>68.62</c:v>
                </c:pt>
                <c:pt idx="2">
                  <c:v>76.459999999999994</c:v>
                </c:pt>
                <c:pt idx="3">
                  <c:v>86.29</c:v>
                </c:pt>
                <c:pt idx="4">
                  <c:v>67.66</c:v>
                </c:pt>
                <c:pt idx="5">
                  <c:v>67.66</c:v>
                </c:pt>
                <c:pt idx="6">
                  <c:v>86.79</c:v>
                </c:pt>
                <c:pt idx="7">
                  <c:v>77.67</c:v>
                </c:pt>
                <c:pt idx="8">
                  <c:v>65.319999999999993</c:v>
                </c:pt>
                <c:pt idx="9">
                  <c:v>75.48</c:v>
                </c:pt>
              </c:numCache>
            </c:numRef>
          </c:xVal>
          <c:yVal>
            <c:numRef>
              <c:f>'statistical analysis'!$C$3:$C$12</c:f>
              <c:numCache>
                <c:formatCode>General</c:formatCode>
                <c:ptCount val="10"/>
                <c:pt idx="0">
                  <c:v>86.79</c:v>
                </c:pt>
                <c:pt idx="1">
                  <c:v>73.180000000000007</c:v>
                </c:pt>
                <c:pt idx="2">
                  <c:v>75.540000000000006</c:v>
                </c:pt>
                <c:pt idx="3">
                  <c:v>69.599999999999994</c:v>
                </c:pt>
                <c:pt idx="4">
                  <c:v>70.64</c:v>
                </c:pt>
                <c:pt idx="5">
                  <c:v>75.89</c:v>
                </c:pt>
                <c:pt idx="6">
                  <c:v>66.790000000000006</c:v>
                </c:pt>
                <c:pt idx="7">
                  <c:v>78</c:v>
                </c:pt>
                <c:pt idx="8">
                  <c:v>70.09</c:v>
                </c:pt>
                <c:pt idx="9">
                  <c:v>72.67</c:v>
                </c:pt>
              </c:numCache>
            </c:numRef>
          </c:yVal>
          <c:smooth val="1"/>
        </c:ser>
        <c:dLbls>
          <c:showLegendKey val="0"/>
          <c:showVal val="0"/>
          <c:showCatName val="0"/>
          <c:showSerName val="0"/>
          <c:showPercent val="0"/>
          <c:showBubbleSize val="0"/>
        </c:dLbls>
        <c:axId val="358412120"/>
        <c:axId val="358416824"/>
      </c:scatterChart>
      <c:valAx>
        <c:axId val="35841212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8416824"/>
        <c:crosses val="autoZero"/>
        <c:crossBetween val="midCat"/>
      </c:valAx>
      <c:valAx>
        <c:axId val="358416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8412120"/>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cap="rnd">
      <a:solidFill>
        <a:schemeClr val="accent1">
          <a:alpha val="50000"/>
        </a:schemeClr>
      </a:solidFill>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'dynamic and advance set'!$C$1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'dynamic and advance set'!$A$2:$B$13</c:f>
              <c:multiLvlStrCache>
                <c:ptCount val="12"/>
                <c:lvl>
                  <c:pt idx="0">
                    <c:v>north</c:v>
                  </c:pt>
                  <c:pt idx="1">
                    <c:v>east</c:v>
                  </c:pt>
                  <c:pt idx="2">
                    <c:v>west</c:v>
                  </c:pt>
                  <c:pt idx="3">
                    <c:v>south</c:v>
                  </c:pt>
                  <c:pt idx="4">
                    <c:v>north</c:v>
                  </c:pt>
                  <c:pt idx="5">
                    <c:v>east</c:v>
                  </c:pt>
                  <c:pt idx="6">
                    <c:v>west</c:v>
                  </c:pt>
                  <c:pt idx="7">
                    <c:v>south</c:v>
                  </c:pt>
                  <c:pt idx="8">
                    <c:v>north</c:v>
                  </c:pt>
                  <c:pt idx="9">
                    <c:v>east</c:v>
                  </c:pt>
                  <c:pt idx="10">
                    <c:v>west</c:v>
                  </c:pt>
                  <c:pt idx="11">
                    <c:v>south</c:v>
                  </c:pt>
                </c:lvl>
                <c:lvl>
                  <c:pt idx="0">
                    <c:v>jan</c:v>
                  </c:pt>
                  <c:pt idx="1">
                    <c:v>feb</c:v>
                  </c:pt>
                  <c:pt idx="2">
                    <c:v>mar</c:v>
                  </c:pt>
                  <c:pt idx="3">
                    <c:v>apr</c:v>
                  </c:pt>
                  <c:pt idx="4">
                    <c:v>may</c:v>
                  </c:pt>
                  <c:pt idx="5">
                    <c:v>june</c:v>
                  </c:pt>
                  <c:pt idx="6">
                    <c:v>july</c:v>
                  </c:pt>
                  <c:pt idx="7">
                    <c:v>aug</c:v>
                  </c:pt>
                  <c:pt idx="8">
                    <c:v>sep</c:v>
                  </c:pt>
                  <c:pt idx="9">
                    <c:v>oct</c:v>
                  </c:pt>
                  <c:pt idx="10">
                    <c:v>nov</c:v>
                  </c:pt>
                  <c:pt idx="11">
                    <c:v>dec</c:v>
                  </c:pt>
                </c:lvl>
              </c:multiLvlStrCache>
            </c:multiLvlStrRef>
          </c:cat>
          <c:val>
            <c:numRef>
              <c:f>'dynamic and advance set'!$C$2:$C$13</c:f>
              <c:numCache>
                <c:formatCode>General</c:formatCode>
                <c:ptCount val="12"/>
                <c:pt idx="0">
                  <c:v>45000</c:v>
                </c:pt>
                <c:pt idx="1">
                  <c:v>38000</c:v>
                </c:pt>
                <c:pt idx="2">
                  <c:v>50000</c:v>
                </c:pt>
                <c:pt idx="3">
                  <c:v>42000</c:v>
                </c:pt>
                <c:pt idx="4">
                  <c:v>55000</c:v>
                </c:pt>
                <c:pt idx="5">
                  <c:v>60000</c:v>
                </c:pt>
                <c:pt idx="6">
                  <c:v>52000</c:v>
                </c:pt>
                <c:pt idx="7">
                  <c:v>48000</c:v>
                </c:pt>
                <c:pt idx="8">
                  <c:v>62000</c:v>
                </c:pt>
                <c:pt idx="9">
                  <c:v>65000</c:v>
                </c:pt>
                <c:pt idx="10">
                  <c:v>58000</c:v>
                </c:pt>
                <c:pt idx="11">
                  <c:v>70000</c:v>
                </c:pt>
              </c:numCache>
            </c:numRef>
          </c:val>
        </c:ser>
        <c:ser>
          <c:idx val="1"/>
          <c:order val="1"/>
          <c:tx>
            <c:strRef>
              <c:f>'dynamic and advance set'!$D$1</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'dynamic and advance set'!$A$2:$B$13</c:f>
              <c:multiLvlStrCache>
                <c:ptCount val="12"/>
                <c:lvl>
                  <c:pt idx="0">
                    <c:v>north</c:v>
                  </c:pt>
                  <c:pt idx="1">
                    <c:v>east</c:v>
                  </c:pt>
                  <c:pt idx="2">
                    <c:v>west</c:v>
                  </c:pt>
                  <c:pt idx="3">
                    <c:v>south</c:v>
                  </c:pt>
                  <c:pt idx="4">
                    <c:v>north</c:v>
                  </c:pt>
                  <c:pt idx="5">
                    <c:v>east</c:v>
                  </c:pt>
                  <c:pt idx="6">
                    <c:v>west</c:v>
                  </c:pt>
                  <c:pt idx="7">
                    <c:v>south</c:v>
                  </c:pt>
                  <c:pt idx="8">
                    <c:v>north</c:v>
                  </c:pt>
                  <c:pt idx="9">
                    <c:v>east</c:v>
                  </c:pt>
                  <c:pt idx="10">
                    <c:v>west</c:v>
                  </c:pt>
                  <c:pt idx="11">
                    <c:v>south</c:v>
                  </c:pt>
                </c:lvl>
                <c:lvl>
                  <c:pt idx="0">
                    <c:v>jan</c:v>
                  </c:pt>
                  <c:pt idx="1">
                    <c:v>feb</c:v>
                  </c:pt>
                  <c:pt idx="2">
                    <c:v>mar</c:v>
                  </c:pt>
                  <c:pt idx="3">
                    <c:v>apr</c:v>
                  </c:pt>
                  <c:pt idx="4">
                    <c:v>may</c:v>
                  </c:pt>
                  <c:pt idx="5">
                    <c:v>june</c:v>
                  </c:pt>
                  <c:pt idx="6">
                    <c:v>july</c:v>
                  </c:pt>
                  <c:pt idx="7">
                    <c:v>aug</c:v>
                  </c:pt>
                  <c:pt idx="8">
                    <c:v>sep</c:v>
                  </c:pt>
                  <c:pt idx="9">
                    <c:v>oct</c:v>
                  </c:pt>
                  <c:pt idx="10">
                    <c:v>nov</c:v>
                  </c:pt>
                  <c:pt idx="11">
                    <c:v>dec</c:v>
                  </c:pt>
                </c:lvl>
              </c:multiLvlStrCache>
            </c:multiLvlStrRef>
          </c:cat>
          <c:val>
            <c:numRef>
              <c:f>'dynamic and advance set'!$D$2:$D$13</c:f>
              <c:numCache>
                <c:formatCode>General</c:formatCode>
                <c:ptCount val="12"/>
                <c:pt idx="0">
                  <c:v>12000</c:v>
                </c:pt>
                <c:pt idx="1">
                  <c:v>9500</c:v>
                </c:pt>
                <c:pt idx="2">
                  <c:v>15000</c:v>
                </c:pt>
                <c:pt idx="3">
                  <c:v>11000</c:v>
                </c:pt>
                <c:pt idx="4">
                  <c:v>16000</c:v>
                </c:pt>
                <c:pt idx="5">
                  <c:v>18000</c:v>
                </c:pt>
                <c:pt idx="6">
                  <c:v>14000</c:v>
                </c:pt>
                <c:pt idx="7">
                  <c:v>13000</c:v>
                </c:pt>
                <c:pt idx="8">
                  <c:v>19000</c:v>
                </c:pt>
                <c:pt idx="9">
                  <c:v>20000</c:v>
                </c:pt>
                <c:pt idx="10">
                  <c:v>17000</c:v>
                </c:pt>
                <c:pt idx="11">
                  <c:v>21000</c:v>
                </c:pt>
              </c:numCache>
            </c:numRef>
          </c:val>
        </c:ser>
        <c:ser>
          <c:idx val="2"/>
          <c:order val="2"/>
          <c:tx>
            <c:strRef>
              <c:f>'dynamic and advance set'!$E$1</c:f>
              <c:strCache>
                <c:ptCount val="1"/>
                <c:pt idx="0">
                  <c:v>revenue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'dynamic and advance set'!$A$2:$B$13</c:f>
              <c:multiLvlStrCache>
                <c:ptCount val="12"/>
                <c:lvl>
                  <c:pt idx="0">
                    <c:v>north</c:v>
                  </c:pt>
                  <c:pt idx="1">
                    <c:v>east</c:v>
                  </c:pt>
                  <c:pt idx="2">
                    <c:v>west</c:v>
                  </c:pt>
                  <c:pt idx="3">
                    <c:v>south</c:v>
                  </c:pt>
                  <c:pt idx="4">
                    <c:v>north</c:v>
                  </c:pt>
                  <c:pt idx="5">
                    <c:v>east</c:v>
                  </c:pt>
                  <c:pt idx="6">
                    <c:v>west</c:v>
                  </c:pt>
                  <c:pt idx="7">
                    <c:v>south</c:v>
                  </c:pt>
                  <c:pt idx="8">
                    <c:v>north</c:v>
                  </c:pt>
                  <c:pt idx="9">
                    <c:v>east</c:v>
                  </c:pt>
                  <c:pt idx="10">
                    <c:v>west</c:v>
                  </c:pt>
                  <c:pt idx="11">
                    <c:v>south</c:v>
                  </c:pt>
                </c:lvl>
                <c:lvl>
                  <c:pt idx="0">
                    <c:v>jan</c:v>
                  </c:pt>
                  <c:pt idx="1">
                    <c:v>feb</c:v>
                  </c:pt>
                  <c:pt idx="2">
                    <c:v>mar</c:v>
                  </c:pt>
                  <c:pt idx="3">
                    <c:v>apr</c:v>
                  </c:pt>
                  <c:pt idx="4">
                    <c:v>may</c:v>
                  </c:pt>
                  <c:pt idx="5">
                    <c:v>june</c:v>
                  </c:pt>
                  <c:pt idx="6">
                    <c:v>july</c:v>
                  </c:pt>
                  <c:pt idx="7">
                    <c:v>aug</c:v>
                  </c:pt>
                  <c:pt idx="8">
                    <c:v>sep</c:v>
                  </c:pt>
                  <c:pt idx="9">
                    <c:v>oct</c:v>
                  </c:pt>
                  <c:pt idx="10">
                    <c:v>nov</c:v>
                  </c:pt>
                  <c:pt idx="11">
                    <c:v>dec</c:v>
                  </c:pt>
                </c:lvl>
              </c:multiLvlStrCache>
            </c:multiLvlStrRef>
          </c:cat>
          <c:val>
            <c:numRef>
              <c:f>'dynamic and advance set'!$E$2:$E$13</c:f>
              <c:numCache>
                <c:formatCode>General</c:formatCode>
                <c:ptCount val="12"/>
                <c:pt idx="0">
                  <c:v>57000</c:v>
                </c:pt>
                <c:pt idx="1">
                  <c:v>47500</c:v>
                </c:pt>
                <c:pt idx="2">
                  <c:v>65000</c:v>
                </c:pt>
                <c:pt idx="3">
                  <c:v>53000</c:v>
                </c:pt>
                <c:pt idx="4">
                  <c:v>71000</c:v>
                </c:pt>
                <c:pt idx="5">
                  <c:v>78000</c:v>
                </c:pt>
                <c:pt idx="6">
                  <c:v>66000</c:v>
                </c:pt>
                <c:pt idx="7">
                  <c:v>61000</c:v>
                </c:pt>
                <c:pt idx="8">
                  <c:v>81000</c:v>
                </c:pt>
                <c:pt idx="9">
                  <c:v>85000</c:v>
                </c:pt>
                <c:pt idx="10">
                  <c:v>75000</c:v>
                </c:pt>
                <c:pt idx="11">
                  <c:v>91000</c:v>
                </c:pt>
              </c:numCache>
            </c:numRef>
          </c:val>
        </c:ser>
        <c:ser>
          <c:idx val="3"/>
          <c:order val="3"/>
          <c:tx>
            <c:strRef>
              <c:f>'dynamic and advance set'!$F$1</c:f>
              <c:strCache>
                <c:ptCount val="1"/>
                <c:pt idx="0">
                  <c:v>units 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'dynamic and advance set'!$A$2:$B$13</c:f>
              <c:multiLvlStrCache>
                <c:ptCount val="12"/>
                <c:lvl>
                  <c:pt idx="0">
                    <c:v>north</c:v>
                  </c:pt>
                  <c:pt idx="1">
                    <c:v>east</c:v>
                  </c:pt>
                  <c:pt idx="2">
                    <c:v>west</c:v>
                  </c:pt>
                  <c:pt idx="3">
                    <c:v>south</c:v>
                  </c:pt>
                  <c:pt idx="4">
                    <c:v>north</c:v>
                  </c:pt>
                  <c:pt idx="5">
                    <c:v>east</c:v>
                  </c:pt>
                  <c:pt idx="6">
                    <c:v>west</c:v>
                  </c:pt>
                  <c:pt idx="7">
                    <c:v>south</c:v>
                  </c:pt>
                  <c:pt idx="8">
                    <c:v>north</c:v>
                  </c:pt>
                  <c:pt idx="9">
                    <c:v>east</c:v>
                  </c:pt>
                  <c:pt idx="10">
                    <c:v>west</c:v>
                  </c:pt>
                  <c:pt idx="11">
                    <c:v>south</c:v>
                  </c:pt>
                </c:lvl>
                <c:lvl>
                  <c:pt idx="0">
                    <c:v>jan</c:v>
                  </c:pt>
                  <c:pt idx="1">
                    <c:v>feb</c:v>
                  </c:pt>
                  <c:pt idx="2">
                    <c:v>mar</c:v>
                  </c:pt>
                  <c:pt idx="3">
                    <c:v>apr</c:v>
                  </c:pt>
                  <c:pt idx="4">
                    <c:v>may</c:v>
                  </c:pt>
                  <c:pt idx="5">
                    <c:v>june</c:v>
                  </c:pt>
                  <c:pt idx="6">
                    <c:v>july</c:v>
                  </c:pt>
                  <c:pt idx="7">
                    <c:v>aug</c:v>
                  </c:pt>
                  <c:pt idx="8">
                    <c:v>sep</c:v>
                  </c:pt>
                  <c:pt idx="9">
                    <c:v>oct</c:v>
                  </c:pt>
                  <c:pt idx="10">
                    <c:v>nov</c:v>
                  </c:pt>
                  <c:pt idx="11">
                    <c:v>dec</c:v>
                  </c:pt>
                </c:lvl>
              </c:multiLvlStrCache>
            </c:multiLvlStrRef>
          </c:cat>
          <c:val>
            <c:numRef>
              <c:f>'dynamic and advance set'!$F$2:$F$13</c:f>
              <c:numCache>
                <c:formatCode>General</c:formatCode>
                <c:ptCount val="12"/>
                <c:pt idx="0">
                  <c:v>200</c:v>
                </c:pt>
                <c:pt idx="1">
                  <c:v>180</c:v>
                </c:pt>
                <c:pt idx="2">
                  <c:v>240</c:v>
                </c:pt>
                <c:pt idx="3">
                  <c:v>210</c:v>
                </c:pt>
                <c:pt idx="4">
                  <c:v>260</c:v>
                </c:pt>
                <c:pt idx="5">
                  <c:v>270</c:v>
                </c:pt>
                <c:pt idx="6">
                  <c:v>250</c:v>
                </c:pt>
                <c:pt idx="7">
                  <c:v>230</c:v>
                </c:pt>
                <c:pt idx="8">
                  <c:v>280</c:v>
                </c:pt>
                <c:pt idx="9">
                  <c:v>290</c:v>
                </c:pt>
                <c:pt idx="10">
                  <c:v>260</c:v>
                </c:pt>
                <c:pt idx="11">
                  <c:v>300</c:v>
                </c:pt>
              </c:numCache>
            </c:numRef>
          </c:val>
        </c:ser>
        <c:dLbls>
          <c:showLegendKey val="0"/>
          <c:showVal val="0"/>
          <c:showCatName val="0"/>
          <c:showSerName val="0"/>
          <c:showPercent val="0"/>
          <c:showBubbleSize val="0"/>
        </c:dLbls>
        <c:gapWidth val="150"/>
        <c:overlap val="100"/>
        <c:axId val="358412512"/>
        <c:axId val="358411336"/>
      </c:barChart>
      <c:catAx>
        <c:axId val="358412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11336"/>
        <c:crosses val="autoZero"/>
        <c:auto val="1"/>
        <c:lblAlgn val="ctr"/>
        <c:lblOffset val="100"/>
        <c:noMultiLvlLbl val="0"/>
      </c:catAx>
      <c:valAx>
        <c:axId val="3584113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12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'dynamic and advance set'!$C$1</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'dynamic and advance set'!$B$2:$B$13</c:f>
              <c:strCache>
                <c:ptCount val="12"/>
                <c:pt idx="0">
                  <c:v>north</c:v>
                </c:pt>
                <c:pt idx="1">
                  <c:v>east</c:v>
                </c:pt>
                <c:pt idx="2">
                  <c:v>west</c:v>
                </c:pt>
                <c:pt idx="3">
                  <c:v>south</c:v>
                </c:pt>
                <c:pt idx="4">
                  <c:v>north</c:v>
                </c:pt>
                <c:pt idx="5">
                  <c:v>east</c:v>
                </c:pt>
                <c:pt idx="6">
                  <c:v>west</c:v>
                </c:pt>
                <c:pt idx="7">
                  <c:v>south</c:v>
                </c:pt>
                <c:pt idx="8">
                  <c:v>north</c:v>
                </c:pt>
                <c:pt idx="9">
                  <c:v>east</c:v>
                </c:pt>
                <c:pt idx="10">
                  <c:v>west</c:v>
                </c:pt>
                <c:pt idx="11">
                  <c:v>south</c:v>
                </c:pt>
              </c:strCache>
            </c:strRef>
          </c:cat>
          <c:val>
            <c:numRef>
              <c:f>'dynamic and advance set'!$C$2:$C$13</c:f>
              <c:numCache>
                <c:formatCode>General</c:formatCode>
                <c:ptCount val="12"/>
                <c:pt idx="0">
                  <c:v>45000</c:v>
                </c:pt>
                <c:pt idx="1">
                  <c:v>38000</c:v>
                </c:pt>
                <c:pt idx="2">
                  <c:v>50000</c:v>
                </c:pt>
                <c:pt idx="3">
                  <c:v>42000</c:v>
                </c:pt>
                <c:pt idx="4">
                  <c:v>55000</c:v>
                </c:pt>
                <c:pt idx="5">
                  <c:v>60000</c:v>
                </c:pt>
                <c:pt idx="6">
                  <c:v>52000</c:v>
                </c:pt>
                <c:pt idx="7">
                  <c:v>48000</c:v>
                </c:pt>
                <c:pt idx="8">
                  <c:v>62000</c:v>
                </c:pt>
                <c:pt idx="9">
                  <c:v>65000</c:v>
                </c:pt>
                <c:pt idx="10">
                  <c:v>58000</c:v>
                </c:pt>
                <c:pt idx="11">
                  <c:v>70000</c:v>
                </c:pt>
              </c:numCache>
            </c:numRef>
          </c:val>
        </c:ser>
        <c:dLbls>
          <c:showLegendKey val="0"/>
          <c:showVal val="0"/>
          <c:showCatName val="0"/>
          <c:showSerName val="0"/>
          <c:showPercent val="0"/>
          <c:showBubbleSize val="0"/>
        </c:dLbls>
        <c:gapWidth val="150"/>
        <c:axId val="358410160"/>
        <c:axId val="358413296"/>
      </c:barChart>
      <c:lineChart>
        <c:grouping val="standard"/>
        <c:varyColors val="0"/>
        <c:ser>
          <c:idx val="1"/>
          <c:order val="1"/>
          <c:tx>
            <c:strRef>
              <c:f>'dynamic and advance set'!$D$1</c:f>
              <c:strCache>
                <c:ptCount val="1"/>
                <c:pt idx="0">
                  <c:v>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'dynamic and advance set'!$B$2:$B$13</c:f>
              <c:strCache>
                <c:ptCount val="12"/>
                <c:pt idx="0">
                  <c:v>north</c:v>
                </c:pt>
                <c:pt idx="1">
                  <c:v>east</c:v>
                </c:pt>
                <c:pt idx="2">
                  <c:v>west</c:v>
                </c:pt>
                <c:pt idx="3">
                  <c:v>south</c:v>
                </c:pt>
                <c:pt idx="4">
                  <c:v>north</c:v>
                </c:pt>
                <c:pt idx="5">
                  <c:v>east</c:v>
                </c:pt>
                <c:pt idx="6">
                  <c:v>west</c:v>
                </c:pt>
                <c:pt idx="7">
                  <c:v>south</c:v>
                </c:pt>
                <c:pt idx="8">
                  <c:v>north</c:v>
                </c:pt>
                <c:pt idx="9">
                  <c:v>east</c:v>
                </c:pt>
                <c:pt idx="10">
                  <c:v>west</c:v>
                </c:pt>
                <c:pt idx="11">
                  <c:v>south</c:v>
                </c:pt>
              </c:strCache>
            </c:strRef>
          </c:cat>
          <c:val>
            <c:numRef>
              <c:f>'dynamic and advance set'!$D$2:$D$13</c:f>
              <c:numCache>
                <c:formatCode>General</c:formatCode>
                <c:ptCount val="12"/>
                <c:pt idx="0">
                  <c:v>12000</c:v>
                </c:pt>
                <c:pt idx="1">
                  <c:v>9500</c:v>
                </c:pt>
                <c:pt idx="2">
                  <c:v>15000</c:v>
                </c:pt>
                <c:pt idx="3">
                  <c:v>11000</c:v>
                </c:pt>
                <c:pt idx="4">
                  <c:v>16000</c:v>
                </c:pt>
                <c:pt idx="5">
                  <c:v>18000</c:v>
                </c:pt>
                <c:pt idx="6">
                  <c:v>14000</c:v>
                </c:pt>
                <c:pt idx="7">
                  <c:v>13000</c:v>
                </c:pt>
                <c:pt idx="8">
                  <c:v>19000</c:v>
                </c:pt>
                <c:pt idx="9">
                  <c:v>20000</c:v>
                </c:pt>
                <c:pt idx="10">
                  <c:v>17000</c:v>
                </c:pt>
                <c:pt idx="11">
                  <c:v>21000</c:v>
                </c:pt>
              </c:numCache>
            </c:numRef>
          </c:val>
          <c:smooth val="0"/>
        </c:ser>
        <c:dLbls>
          <c:showLegendKey val="0"/>
          <c:showVal val="0"/>
          <c:showCatName val="0"/>
          <c:showSerName val="0"/>
          <c:showPercent val="0"/>
          <c:showBubbleSize val="0"/>
        </c:dLbls>
        <c:marker val="1"/>
        <c:smooth val="0"/>
        <c:axId val="358410160"/>
        <c:axId val="358413296"/>
      </c:lineChart>
      <c:catAx>
        <c:axId val="358410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13296"/>
        <c:crosses val="autoZero"/>
        <c:auto val="1"/>
        <c:lblAlgn val="ctr"/>
        <c:lblOffset val="100"/>
        <c:noMultiLvlLbl val="0"/>
      </c:catAx>
      <c:valAx>
        <c:axId val="3584132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8410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xdr:col>
      <xdr:colOff>89646</xdr:colOff>
      <xdr:row>13</xdr:row>
      <xdr:rowOff>22412</xdr:rowOff>
    </xdr:from>
    <xdr:to>
      <xdr:col>6</xdr:col>
      <xdr:colOff>78440</xdr:colOff>
      <xdr:row>25</xdr:row>
      <xdr:rowOff>80122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379320</xdr:colOff>
      <xdr:row>27</xdr:row>
      <xdr:rowOff>30256</xdr:rowOff>
    </xdr:from>
    <xdr:to>
      <xdr:col>9</xdr:col>
      <xdr:colOff>415179</xdr:colOff>
      <xdr:row>40</xdr:row>
      <xdr:rowOff>77881</xdr:rowOff>
    </xdr:to>
    <mc:AlternateContent xmlns:mc="http://schemas.openxmlformats.org/markup-compatibility/2006" xmlns:a14="http://schemas.microsoft.com/office/drawing/2010/main">
      <mc:Choice Requires="a14">
        <xdr:graphicFrame macro="">
          <xdr:nvGraphicFramePr>
            <xdr:cNvPr id="3" name="Date"/>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357408" y="517375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20731</xdr:colOff>
      <xdr:row>27</xdr:row>
      <xdr:rowOff>24652</xdr:rowOff>
    </xdr:from>
    <xdr:to>
      <xdr:col>6</xdr:col>
      <xdr:colOff>314325</xdr:colOff>
      <xdr:row>40</xdr:row>
      <xdr:rowOff>72277</xdr:rowOff>
    </xdr:to>
    <mc:AlternateContent xmlns:mc="http://schemas.openxmlformats.org/markup-compatibility/2006" xmlns:a14="http://schemas.microsoft.com/office/drawing/2010/main">
      <mc:Choice Requires="a14">
        <xdr:graphicFrame macro="">
          <xdr:nvGraphicFramePr>
            <xdr:cNvPr id="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63613" y="516815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351304</xdr:colOff>
      <xdr:row>13</xdr:row>
      <xdr:rowOff>17370</xdr:rowOff>
    </xdr:from>
    <xdr:to>
      <xdr:col>11</xdr:col>
      <xdr:colOff>530598</xdr:colOff>
      <xdr:row>20</xdr:row>
      <xdr:rowOff>55470</xdr:rowOff>
    </xdr:to>
    <mc:AlternateContent xmlns:mc="http://schemas.openxmlformats.org/markup-compatibility/2006" xmlns:tsle="http://schemas.microsoft.com/office/drawing/2012/timeslicer">
      <mc:Choice Requires="tsle">
        <xdr:graphicFrame macro="">
          <xdr:nvGraphicFramePr>
            <xdr:cNvPr id="5"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329392" y="249387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581025</xdr:colOff>
      <xdr:row>27</xdr:row>
      <xdr:rowOff>41462</xdr:rowOff>
    </xdr:from>
    <xdr:to>
      <xdr:col>3</xdr:col>
      <xdr:colOff>577663</xdr:colOff>
      <xdr:row>40</xdr:row>
      <xdr:rowOff>89087</xdr:rowOff>
    </xdr:to>
    <mc:AlternateContent xmlns:mc="http://schemas.openxmlformats.org/markup-compatibility/2006" xmlns:a14="http://schemas.microsoft.com/office/drawing/2010/main">
      <mc:Choice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1025" y="518496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508187</xdr:colOff>
      <xdr:row>27</xdr:row>
      <xdr:rowOff>13447</xdr:rowOff>
    </xdr:from>
    <xdr:to>
      <xdr:col>12</xdr:col>
      <xdr:colOff>101413</xdr:colOff>
      <xdr:row>40</xdr:row>
      <xdr:rowOff>61072</xdr:rowOff>
    </xdr:to>
    <mc:AlternateContent xmlns:mc="http://schemas.openxmlformats.org/markup-compatibility/2006" xmlns:a14="http://schemas.microsoft.com/office/drawing/2010/main">
      <mc:Choice Requires="a14">
        <xdr:graphicFrame macro="">
          <xdr:nvGraphicFramePr>
            <xdr:cNvPr id="7"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6279216" y="515694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279400</xdr:colOff>
      <xdr:row>11</xdr:row>
      <xdr:rowOff>9524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0</xdr:row>
      <xdr:rowOff>0</xdr:rowOff>
    </xdr:from>
    <xdr:to>
      <xdr:col>12</xdr:col>
      <xdr:colOff>603250</xdr:colOff>
      <xdr:row>10</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0</xdr:row>
      <xdr:rowOff>0</xdr:rowOff>
    </xdr:from>
    <xdr:to>
      <xdr:col>21</xdr:col>
      <xdr:colOff>171450</xdr:colOff>
      <xdr:row>10</xdr:row>
      <xdr:rowOff>165101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0</xdr:rowOff>
    </xdr:from>
    <xdr:to>
      <xdr:col>5</xdr:col>
      <xdr:colOff>273050</xdr:colOff>
      <xdr:row>26</xdr:row>
      <xdr:rowOff>34925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14</xdr:row>
      <xdr:rowOff>0</xdr:rowOff>
    </xdr:from>
    <xdr:to>
      <xdr:col>12</xdr:col>
      <xdr:colOff>527050</xdr:colOff>
      <xdr:row>25</xdr:row>
      <xdr:rowOff>158751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29</xdr:row>
      <xdr:rowOff>0</xdr:rowOff>
    </xdr:from>
    <xdr:to>
      <xdr:col>5</xdr:col>
      <xdr:colOff>330200</xdr:colOff>
      <xdr:row>41</xdr:row>
      <xdr:rowOff>104774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577850</xdr:colOff>
      <xdr:row>13</xdr:row>
      <xdr:rowOff>177800</xdr:rowOff>
    </xdr:from>
    <xdr:to>
      <xdr:col>19</xdr:col>
      <xdr:colOff>463550</xdr:colOff>
      <xdr:row>26</xdr:row>
      <xdr:rowOff>104774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523875</xdr:colOff>
      <xdr:row>9</xdr:row>
      <xdr:rowOff>107950</xdr:rowOff>
    </xdr:from>
    <xdr:to>
      <xdr:col>7</xdr:col>
      <xdr:colOff>50800</xdr:colOff>
      <xdr:row>17</xdr:row>
      <xdr:rowOff>66674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44450</xdr:colOff>
      <xdr:row>9</xdr:row>
      <xdr:rowOff>50799</xdr:rowOff>
    </xdr:from>
    <xdr:to>
      <xdr:col>12</xdr:col>
      <xdr:colOff>0</xdr:colOff>
      <xdr:row>17</xdr:row>
      <xdr:rowOff>69850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50800</xdr:colOff>
      <xdr:row>18</xdr:row>
      <xdr:rowOff>82549</xdr:rowOff>
    </xdr:from>
    <xdr:to>
      <xdr:col>6</xdr:col>
      <xdr:colOff>387350</xdr:colOff>
      <xdr:row>27</xdr:row>
      <xdr:rowOff>79374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431800</xdr:colOff>
      <xdr:row>18</xdr:row>
      <xdr:rowOff>82549</xdr:rowOff>
    </xdr:from>
    <xdr:to>
      <xdr:col>12</xdr:col>
      <xdr:colOff>374650</xdr:colOff>
      <xdr:row>27</xdr:row>
      <xdr:rowOff>130174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9525</xdr:colOff>
      <xdr:row>29</xdr:row>
      <xdr:rowOff>0</xdr:rowOff>
    </xdr:from>
    <xdr:to>
      <xdr:col>8</xdr:col>
      <xdr:colOff>295275</xdr:colOff>
      <xdr:row>36</xdr:row>
      <xdr:rowOff>53975</xdr:rowOff>
    </xdr:to>
    <mc:AlternateContent xmlns:mc="http://schemas.openxmlformats.org/markup-compatibility/2006" xmlns:tsle="http://schemas.microsoft.com/office/drawing/2012/timeslicer">
      <mc:Choice Requires="tsle">
        <xdr:graphicFrame macro="">
          <xdr:nvGraphicFramePr>
            <xdr:cNvPr id="6"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308225" y="5524500"/>
              <a:ext cx="3333750" cy="1387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269875</xdr:colOff>
      <xdr:row>28</xdr:row>
      <xdr:rowOff>120650</xdr:rowOff>
    </xdr:from>
    <xdr:to>
      <xdr:col>15</xdr:col>
      <xdr:colOff>269875</xdr:colOff>
      <xdr:row>41</xdr:row>
      <xdr:rowOff>168275</xdr:rowOff>
    </xdr:to>
    <mc:AlternateContent xmlns:mc="http://schemas.openxmlformats.org/markup-compatibility/2006" xmlns:a14="http://schemas.microsoft.com/office/drawing/2010/main">
      <mc:Choice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54975" y="545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587375</xdr:colOff>
      <xdr:row>28</xdr:row>
      <xdr:rowOff>127000</xdr:rowOff>
    </xdr:from>
    <xdr:to>
      <xdr:col>11</xdr:col>
      <xdr:colOff>587375</xdr:colOff>
      <xdr:row>41</xdr:row>
      <xdr:rowOff>174625</xdr:rowOff>
    </xdr:to>
    <mc:AlternateContent xmlns:mc="http://schemas.openxmlformats.org/markup-compatibility/2006" xmlns:a14="http://schemas.microsoft.com/office/drawing/2010/main">
      <mc:Choice Requires="a14">
        <xdr:graphicFrame macro="">
          <xdr:nvGraphicFramePr>
            <xdr:cNvPr id="8"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934075" y="546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519544</xdr:colOff>
      <xdr:row>18</xdr:row>
      <xdr:rowOff>181841</xdr:rowOff>
    </xdr:from>
    <xdr:to>
      <xdr:col>15</xdr:col>
      <xdr:colOff>909203</xdr:colOff>
      <xdr:row>25</xdr:row>
      <xdr:rowOff>155864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352425</xdr:colOff>
      <xdr:row>9</xdr:row>
      <xdr:rowOff>42862</xdr:rowOff>
    </xdr:from>
    <xdr:to>
      <xdr:col>12</xdr:col>
      <xdr:colOff>47625</xdr:colOff>
      <xdr:row>23</xdr:row>
      <xdr:rowOff>119062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19050</xdr:colOff>
      <xdr:row>0</xdr:row>
      <xdr:rowOff>138112</xdr:rowOff>
    </xdr:from>
    <xdr:to>
      <xdr:col>15</xdr:col>
      <xdr:colOff>323850</xdr:colOff>
      <xdr:row>15</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304800</xdr:colOff>
      <xdr:row>0</xdr:row>
      <xdr:rowOff>138112</xdr:rowOff>
    </xdr:from>
    <xdr:to>
      <xdr:col>24</xdr:col>
      <xdr:colOff>0</xdr:colOff>
      <xdr:row>15</xdr:row>
      <xdr:rowOff>23812</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266700</xdr:colOff>
          <xdr:row>8</xdr:row>
          <xdr:rowOff>38100</xdr:rowOff>
        </xdr:from>
        <xdr:to>
          <xdr:col>13</xdr:col>
          <xdr:colOff>190500</xdr:colOff>
          <xdr:row>10</xdr:row>
          <xdr:rowOff>104775</xdr:rowOff>
        </xdr:to>
        <xdr:sp macro="" textlink="">
          <xdr:nvSpPr>
            <xdr:cNvPr id="7169" name="Button 1" hidden="1">
              <a:extLst>
                <a:ext uri="{63B3BB69-23CF-44E3-9099-C40C66FF867C}">
                  <a14:compatExt spid="_x0000_s7169"/>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17</xdr:col>
          <xdr:colOff>133350</xdr:colOff>
          <xdr:row>13</xdr:row>
          <xdr:rowOff>161925</xdr:rowOff>
        </xdr:to>
        <xdr:sp macro="" textlink="">
          <xdr:nvSpPr>
            <xdr:cNvPr id="7170" name="Button 2" hidden="1">
              <a:extLst>
                <a:ext uri="{63B3BB69-23CF-44E3-9099-C40C66FF867C}">
                  <a14:compatExt spid="_x0000_s717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1" name="Button 3" hidden="1">
              <a:extLst>
                <a:ext uri="{63B3BB69-23CF-44E3-9099-C40C66FF867C}">
                  <a14:compatExt spid="_x0000_s7171"/>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2" name="Button 4" hidden="1">
              <a:extLst>
                <a:ext uri="{63B3BB69-23CF-44E3-9099-C40C66FF867C}">
                  <a14:compatExt spid="_x0000_s7172"/>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4</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3" name="Button 5" hidden="1">
              <a:extLst>
                <a:ext uri="{63B3BB69-23CF-44E3-9099-C40C66FF867C}">
                  <a14:compatExt spid="_x0000_s7173"/>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5</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4" name="Button 6" hidden="1">
              <a:extLst>
                <a:ext uri="{63B3BB69-23CF-44E3-9099-C40C66FF867C}">
                  <a14:compatExt spid="_x0000_s7174"/>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6</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5" name="Button 7" hidden="1">
              <a:extLst>
                <a:ext uri="{63B3BB69-23CF-44E3-9099-C40C66FF867C}">
                  <a14:compatExt spid="_x0000_s7175"/>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7</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6" name="Button 8" hidden="1">
              <a:extLst>
                <a:ext uri="{63B3BB69-23CF-44E3-9099-C40C66FF867C}">
                  <a14:compatExt spid="_x0000_s7176"/>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8</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7" name="Button 9" hidden="1">
              <a:extLst>
                <a:ext uri="{63B3BB69-23CF-44E3-9099-C40C66FF867C}">
                  <a14:compatExt spid="_x0000_s7177"/>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9</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8" name="Button 10" hidden="1">
              <a:extLst>
                <a:ext uri="{63B3BB69-23CF-44E3-9099-C40C66FF867C}">
                  <a14:compatExt spid="_x0000_s7178"/>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10</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79" name="Button 11" hidden="1">
              <a:extLst>
                <a:ext uri="{63B3BB69-23CF-44E3-9099-C40C66FF867C}">
                  <a14:compatExt spid="_x0000_s7179"/>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80" name="Button 12" hidden="1">
              <a:extLst>
                <a:ext uri="{63B3BB69-23CF-44E3-9099-C40C66FF867C}">
                  <a14:compatExt spid="_x0000_s718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81" name="Button 13" hidden="1">
              <a:extLst>
                <a:ext uri="{63B3BB69-23CF-44E3-9099-C40C66FF867C}">
                  <a14:compatExt spid="_x0000_s7181"/>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82" name="Button 14" hidden="1">
              <a:extLst>
                <a:ext uri="{63B3BB69-23CF-44E3-9099-C40C66FF867C}">
                  <a14:compatExt spid="_x0000_s7182"/>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14</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552450</xdr:colOff>
          <xdr:row>13</xdr:row>
          <xdr:rowOff>161925</xdr:rowOff>
        </xdr:from>
        <xdr:to>
          <xdr:col>13</xdr:col>
          <xdr:colOff>114300</xdr:colOff>
          <xdr:row>17</xdr:row>
          <xdr:rowOff>104775</xdr:rowOff>
        </xdr:to>
        <xdr:sp macro="" textlink="">
          <xdr:nvSpPr>
            <xdr:cNvPr id="7183" name="Button 15" hidden="1">
              <a:extLst>
                <a:ext uri="{63B3BB69-23CF-44E3-9099-C40C66FF867C}">
                  <a14:compatExt spid="_x0000_s7183"/>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cs typeface="Calibri"/>
                </a:rPr>
                <a:t>Button 15</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DELL" refreshedDate="45923.41819733796" createdVersion="5" refreshedVersion="5" minRefreshableVersion="3" recordCount="5">
  <cacheSource type="worksheet">
    <worksheetSource ref="B36:G41" sheet="Concatenate"/>
  </cacheSource>
  <cacheFields count="6">
    <cacheField name="STUDENT" numFmtId="0">
      <sharedItems count="5">
        <s v="KRISHNA"/>
        <s v="DINESH"/>
        <s v="RAKESH"/>
        <s v="TINA"/>
        <s v="SHANKAR"/>
      </sharedItems>
    </cacheField>
    <cacheField name="MATHS" numFmtId="0">
      <sharedItems containsSemiMixedTypes="0" containsString="0" containsNumber="1" containsInteger="1" minValue="69" maxValue="79"/>
    </cacheField>
    <cacheField name="ENGLISH" numFmtId="0">
      <sharedItems containsSemiMixedTypes="0" containsString="0" containsNumber="1" containsInteger="1" minValue="69" maxValue="84"/>
    </cacheField>
    <cacheField name="SCIENCE" numFmtId="0">
      <sharedItems containsSemiMixedTypes="0" containsString="0" containsNumber="1" containsInteger="1" minValue="70" maxValue="80"/>
    </cacheField>
    <cacheField name="SOCIAL" numFmtId="0">
      <sharedItems containsSemiMixedTypes="0" containsString="0" containsNumber="1" containsInteger="1" minValue="71" maxValue="86"/>
    </cacheField>
    <cacheField name="TAMIL" numFmtId="0">
      <sharedItems containsSemiMixedTypes="0" containsString="0" containsNumber="1" containsInteger="1" minValue="70" maxValue="8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25.612252083331" createdVersion="5" refreshedVersion="5" minRefreshableVersion="3" recordCount="5">
  <cacheSource type="worksheet">
    <worksheetSource ref="A1:D6" sheet="Pivot"/>
  </cacheSource>
  <cacheFields count="4">
    <cacheField name="Date" numFmtId="15">
      <sharedItems containsSemiMixedTypes="0" containsNonDate="0" containsDate="1" containsString="0" minDate="2025-01-01T00:00:00" maxDate="2025-01-08T00:00:00" count="5">
        <d v="2025-01-01T00:00:00"/>
        <d v="2025-01-03T00:00:00"/>
        <d v="2025-01-04T00:00:00"/>
        <d v="2025-01-06T00:00:00"/>
        <d v="2025-01-07T00:00:00"/>
      </sharedItems>
    </cacheField>
    <cacheField name="Region" numFmtId="0">
      <sharedItems count="3">
        <s v="East"/>
        <s v="West"/>
        <s v="South"/>
      </sharedItems>
    </cacheField>
    <cacheField name="Product" numFmtId="0">
      <sharedItems count="3">
        <s v="Pen"/>
        <s v="Book"/>
        <s v="Paper"/>
      </sharedItems>
    </cacheField>
    <cacheField name="Sales" numFmtId="0">
      <sharedItems containsSemiMixedTypes="0" containsString="0" containsNumber="1" containsInteger="1" minValue="120" maxValue="500" count="5">
        <n v="120"/>
        <n v="200"/>
        <n v="150"/>
        <n v="300"/>
        <n v="500"/>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943.526529513889" createdVersion="5" refreshedVersion="5" minRefreshableVersion="3" recordCount="5">
  <cacheSource type="worksheet">
    <worksheetSource ref="A3:E8" sheet="DATA VISUALIZATION"/>
  </cacheSource>
  <cacheFields count="5">
    <cacheField name="Date" numFmtId="15">
      <sharedItems containsSemiMixedTypes="0" containsNonDate="0" containsDate="1" containsString="0" minDate="2025-01-01T00:00:00" maxDate="2025-01-08T00:00:00" count="5">
        <d v="2025-01-01T00:00:00"/>
        <d v="2025-01-03T00:00:00"/>
        <d v="2025-01-04T00:00:00"/>
        <d v="2025-01-06T00:00:00"/>
        <d v="2025-01-07T00:00:00"/>
      </sharedItems>
      <fieldGroup base="0">
        <rangePr groupBy="months" startDate="2025-01-01T00:00:00" endDate="2025-01-08T00:00:00"/>
        <groupItems count="14">
          <s v="&lt;1/1/2025"/>
          <s v="Jan"/>
          <s v="Feb"/>
          <s v="Mar"/>
          <s v="Apr"/>
          <s v="May"/>
          <s v="Jun"/>
          <s v="Jul"/>
          <s v="Aug"/>
          <s v="Sep"/>
          <s v="Oct"/>
          <s v="Nov"/>
          <s v="Dec"/>
          <s v="&gt;1/8/2025"/>
        </groupItems>
      </fieldGroup>
    </cacheField>
    <cacheField name="Region" numFmtId="0">
      <sharedItems count="3">
        <s v="East"/>
        <s v="West"/>
        <s v="South"/>
      </sharedItems>
    </cacheField>
    <cacheField name="Product" numFmtId="0">
      <sharedItems count="3">
        <s v="Pen"/>
        <s v="Book"/>
        <s v="Paper"/>
      </sharedItems>
    </cacheField>
    <cacheField name="Sales" numFmtId="0">
      <sharedItems containsSemiMixedTypes="0" containsString="0" containsNumber="1" containsInteger="1" minValue="120" maxValue="300"/>
    </cacheField>
    <cacheField name="Quantity" numFmtId="0">
      <sharedItems containsSemiMixedTypes="0" containsString="0" containsNumber="1" containsInteger="1" minValue="10" maxValue="20"/>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5943.606241319445" createdVersion="5" refreshedVersion="5" minRefreshableVersion="3" recordCount="15">
  <cacheSource type="worksheet">
    <worksheetSource ref="A2:K17" sheet="PIE CHART"/>
  </cacheSource>
  <cacheFields count="11">
    <cacheField name="Order ID" numFmtId="0">
      <sharedItems containsSemiMixedTypes="0" containsString="0" containsNumber="1" containsInteger="1" minValue="1001" maxValue="1015"/>
    </cacheField>
    <cacheField name="Date" numFmtId="14">
      <sharedItems containsSemiMixedTypes="0" containsNonDate="0" containsDate="1" containsString="0" minDate="2025-01-03T00:00:00" maxDate="2025-01-31T00:00:00" count="15">
        <d v="2025-01-03T00:00:00"/>
        <d v="2025-01-04T00:00:00"/>
        <d v="2025-01-06T00:00:00"/>
        <d v="2025-01-07T00:00:00"/>
        <d v="2025-01-10T00:00:00"/>
        <d v="2025-01-12T00:00:00"/>
        <d v="2025-01-15T00:00:00"/>
        <d v="2025-01-16T00:00:00"/>
        <d v="2025-01-18T00:00:00"/>
        <d v="2025-01-20T00:00:00"/>
        <d v="2025-01-21T00:00:00"/>
        <d v="2025-01-22T00:00:00"/>
        <d v="2025-01-25T00:00:00"/>
        <d v="2025-01-28T00:00:00"/>
        <d v="2025-01-30T00:00:00"/>
      </sharedItems>
    </cacheField>
    <cacheField name="Region" numFmtId="0">
      <sharedItems count="4">
        <s v="North"/>
        <s v="South"/>
        <s v="East"/>
        <s v="West"/>
      </sharedItems>
    </cacheField>
    <cacheField name="Salesperson" numFmtId="0">
      <sharedItems count="4">
        <s v="Alice"/>
        <s v="Bob"/>
        <s v="Charlie"/>
        <s v="Diana"/>
      </sharedItems>
    </cacheField>
    <cacheField name="Product Category" numFmtId="0">
      <sharedItems count="3">
        <s v="Electronics"/>
        <s v="Furniture"/>
        <s v="Stationery"/>
      </sharedItems>
    </cacheField>
    <cacheField name="Product Name" numFmtId="0">
      <sharedItems count="15">
        <s v="Laptop"/>
        <s v="Office Chair"/>
        <s v="Notebook"/>
        <s v="Smartphone"/>
        <s v="Desk"/>
        <s v="Tablet"/>
        <s v="Pen Pack"/>
        <s v="Bookshelf"/>
        <s v="Headphones"/>
        <s v="File Folder"/>
        <s v="Sofa"/>
        <s v="Smartwatch"/>
        <s v="Marker Set"/>
        <s v="Dining Table"/>
        <s v="Camera"/>
      </sharedItems>
    </cacheField>
    <cacheField name="Units Sold" numFmtId="0">
      <sharedItems containsSemiMixedTypes="0" containsString="0" containsNumber="1" containsInteger="1" minValue="1" maxValue="200" count="12">
        <n v="5"/>
        <n v="10"/>
        <n v="200"/>
        <n v="8"/>
        <n v="6"/>
        <n v="4"/>
        <n v="100"/>
        <n v="3"/>
        <n v="150"/>
        <n v="2"/>
        <n v="80"/>
        <n v="1"/>
      </sharedItems>
    </cacheField>
    <cacheField name="Unit Price" numFmtId="0">
      <sharedItems containsSemiMixedTypes="0" containsString="0" containsNumber="1" containsInteger="1" minValue="50" maxValue="85000"/>
    </cacheField>
    <cacheField name="Total Sales" numFmtId="0">
      <sharedItems containsSemiMixedTypes="0" containsString="0" containsNumber="1" containsInteger="1" minValue="8000" maxValue="325000"/>
    </cacheField>
    <cacheField name="Discount" numFmtId="9">
      <sharedItems containsSemiMixedTypes="0" containsString="0" containsNumber="1" minValue="0" maxValue="0.1"/>
    </cacheField>
    <cacheField name="Profit" numFmtId="0">
      <sharedItems containsSemiMixedTypes="0" containsString="0" containsNumber="1" containsInteger="1" minValue="2000" maxValue="52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5943.620841435186" backgroundQuery="1" createdVersion="5" refreshedVersion="5" minRefreshableVersion="3" recordCount="0" supportSubquery="1" supportAdvancedDrill="1">
  <cacheSource type="external" connectionId="1"/>
  <cacheFields count="3">
    <cacheField name="[Range].[Salesperson].[Salesperson]" caption="Salesperson" numFmtId="0" hierarchy="3" level="1">
      <sharedItems count="4">
        <s v="Alice"/>
        <s v="Bob"/>
        <s v="Charlie"/>
        <s v="Diana"/>
      </sharedItems>
    </cacheField>
    <cacheField name="[Measures].[Sum of Units Sold]" caption="Sum of Units Sold" numFmtId="0" hierarchy="12" level="32767"/>
    <cacheField name="[Range].[Product Category].[Product Category]" caption="Product Category" numFmtId="0" hierarchy="4" level="1">
      <sharedItems count="3">
        <s v="Electronics"/>
        <s v="Furniture"/>
        <s v="Stationery"/>
      </sharedItems>
    </cacheField>
  </cacheFields>
  <cacheHierarchies count="16">
    <cacheHierarchy uniqueName="[Range].[Order ID]" caption="Order ID" attribute="1" defaultMemberUniqueName="[Range].[Order ID].[All]" allUniqueName="[Range].[Order ID].[All]" dimensionUniqueName="[Range]" displayFolder="" count="0" memberValueDatatype="20" unbalanced="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2"/>
      </fieldsUsage>
    </cacheHierarchy>
    <cacheHierarchy uniqueName="[Range].[Product Name]" caption="Product Name" attribute="1" defaultMemberUniqueName="[Range].[Product Name].[All]" allUniqueName="[Range].[Product Name].[All]" dimensionUniqueName="[Range]" displayFolder="" count="0" memberValueDatatype="130" unbalanced="0"/>
    <cacheHierarchy uniqueName="[Range].[Units Sold]" caption="Units Sold" attribute="1" defaultMemberUniqueName="[Range].[Units Sold].[All]" allUniqueName="[Range].[Units Sold].[All]" dimensionUniqueName="[Range]" displayFolder="" count="0" memberValueDatatype="20" unbalanced="0"/>
    <cacheHierarchy uniqueName="[Range].[Unit Price]" caption="Unit Price" attribute="1" defaultMemberUniqueName="[Range].[Unit Price].[All]" allUniqueName="[Range].[Unit Price].[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20" unbalanced="0"/>
    <cacheHierarchy uniqueName="[Range].[Discount]" caption="Discount" attribute="1" defaultMemberUniqueName="[Range].[Discount].[All]" allUniqueName="[Range].[Discount].[All]" dimensionUniqueName="[Range]" displayFolder="" count="0" memberValueDatatype="5" unbalanced="0"/>
    <cacheHierarchy uniqueName="[Range].[Profit]" caption="Profit" attribute="1" defaultMemberUniqueName="[Range].[Profit].[All]" allUniqueName="[Range].[Profit].[All]" dimensionUniqueName="[Range]" displayFolder="" count="0" memberValueDatatype="20" unbalanced="0"/>
    <cacheHierarchy uniqueName="[Measures].[Count of Region]" caption="Count of Region" measure="1" displayFolder="" measureGroup="Range" count="0">
      <extLst>
        <ext xmlns:x15="http://schemas.microsoft.com/office/spreadsheetml/2010/11/main" uri="{B97F6D7D-B522-45F9-BDA1-12C45D357490}">
          <x15:cacheHierarchy aggregatedColumn="2"/>
        </ext>
      </extLst>
    </cacheHierarchy>
    <cacheHierarchy uniqueName="[Measures].[Sum of Units Sold]" caption="Sum of Units Sold" measure="1" displayFolder="" measureGroup="Range" count="0" oneField="1">
      <fieldsUsage count="1">
        <fieldUsage x="1"/>
      </fieldsUsage>
      <extLst>
        <ext xmlns:x15="http://schemas.microsoft.com/office/spreadsheetml/2010/11/main" uri="{B97F6D7D-B522-45F9-BDA1-12C45D357490}">
          <x15:cacheHierarchy aggregatedColumn="6"/>
        </ext>
      </extLst>
    </cacheHierarchy>
    <cacheHierarchy uniqueName="[Measures].[Count of Product Category]" caption="Count of Product Category" measure="1" displayFolder="" measureGroup="Range" count="0">
      <extLst>
        <ext xmlns:x15="http://schemas.microsoft.com/office/spreadsheetml/2010/11/main" uri="{B97F6D7D-B522-45F9-BDA1-12C45D357490}">
          <x15:cacheHierarchy aggregatedColumn="4"/>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
  <r>
    <x v="0"/>
    <n v="77"/>
    <n v="80"/>
    <n v="78"/>
    <n v="71"/>
    <n v="80"/>
  </r>
  <r>
    <x v="1"/>
    <n v="69"/>
    <n v="75"/>
    <n v="70"/>
    <n v="77"/>
    <n v="74"/>
  </r>
  <r>
    <x v="2"/>
    <n v="73"/>
    <n v="84"/>
    <n v="80"/>
    <n v="86"/>
    <n v="70"/>
  </r>
  <r>
    <x v="3"/>
    <n v="70"/>
    <n v="71"/>
    <n v="79"/>
    <n v="72"/>
    <n v="79"/>
  </r>
  <r>
    <x v="4"/>
    <n v="79"/>
    <n v="69"/>
    <n v="72"/>
    <n v="80"/>
    <n v="82"/>
  </r>
</pivotCacheRecords>
</file>

<file path=xl/pivotCache/pivotCacheRecords2.xml><?xml version="1.0" encoding="utf-8"?>
<pivotCacheRecords xmlns="http://schemas.openxmlformats.org/spreadsheetml/2006/main" xmlns:r="http://schemas.openxmlformats.org/officeDocument/2006/relationships" count="5">
  <r>
    <x v="0"/>
    <x v="0"/>
    <x v="0"/>
    <x v="0"/>
  </r>
  <r>
    <x v="1"/>
    <x v="1"/>
    <x v="1"/>
    <x v="1"/>
  </r>
  <r>
    <x v="2"/>
    <x v="0"/>
    <x v="0"/>
    <x v="2"/>
  </r>
  <r>
    <x v="3"/>
    <x v="2"/>
    <x v="2"/>
    <x v="3"/>
  </r>
  <r>
    <x v="4"/>
    <x v="1"/>
    <x v="1"/>
    <x v="4"/>
  </r>
</pivotCacheRecords>
</file>

<file path=xl/pivotCache/pivotCacheRecords3.xml><?xml version="1.0" encoding="utf-8"?>
<pivotCacheRecords xmlns="http://schemas.openxmlformats.org/spreadsheetml/2006/main" xmlns:r="http://schemas.openxmlformats.org/officeDocument/2006/relationships" count="5">
  <r>
    <x v="0"/>
    <x v="0"/>
    <x v="0"/>
    <n v="120"/>
    <n v="10"/>
  </r>
  <r>
    <x v="1"/>
    <x v="1"/>
    <x v="1"/>
    <n v="200"/>
    <n v="15"/>
  </r>
  <r>
    <x v="2"/>
    <x v="0"/>
    <x v="0"/>
    <n v="150"/>
    <n v="12"/>
  </r>
  <r>
    <x v="3"/>
    <x v="2"/>
    <x v="2"/>
    <n v="300"/>
    <n v="20"/>
  </r>
  <r>
    <x v="4"/>
    <x v="1"/>
    <x v="1"/>
    <n v="180"/>
    <n v="14"/>
  </r>
</pivotCacheRecords>
</file>

<file path=xl/pivotCache/pivotCacheRecords4.xml><?xml version="1.0" encoding="utf-8"?>
<pivotCacheRecords xmlns="http://schemas.openxmlformats.org/spreadsheetml/2006/main" xmlns:r="http://schemas.openxmlformats.org/officeDocument/2006/relationships" count="15">
  <r>
    <n v="1001"/>
    <x v="0"/>
    <x v="0"/>
    <x v="0"/>
    <x v="0"/>
    <x v="0"/>
    <x v="0"/>
    <n v="65000"/>
    <n v="325000"/>
    <n v="0.05"/>
    <n v="52000"/>
  </r>
  <r>
    <n v="1002"/>
    <x v="1"/>
    <x v="1"/>
    <x v="1"/>
    <x v="1"/>
    <x v="1"/>
    <x v="1"/>
    <n v="4500"/>
    <n v="45000"/>
    <n v="0.1"/>
    <n v="8000"/>
  </r>
  <r>
    <n v="1003"/>
    <x v="2"/>
    <x v="2"/>
    <x v="2"/>
    <x v="2"/>
    <x v="2"/>
    <x v="2"/>
    <n v="50"/>
    <n v="10000"/>
    <n v="0"/>
    <n v="2500"/>
  </r>
  <r>
    <n v="1004"/>
    <x v="3"/>
    <x v="3"/>
    <x v="3"/>
    <x v="0"/>
    <x v="3"/>
    <x v="3"/>
    <n v="35000"/>
    <n v="280000"/>
    <n v="0.08"/>
    <n v="40000"/>
  </r>
  <r>
    <n v="1005"/>
    <x v="4"/>
    <x v="0"/>
    <x v="0"/>
    <x v="1"/>
    <x v="4"/>
    <x v="4"/>
    <n v="12000"/>
    <n v="72000"/>
    <n v="0"/>
    <n v="18000"/>
  </r>
  <r>
    <n v="1006"/>
    <x v="5"/>
    <x v="1"/>
    <x v="1"/>
    <x v="0"/>
    <x v="5"/>
    <x v="5"/>
    <n v="22000"/>
    <n v="88000"/>
    <n v="0.05"/>
    <n v="15000"/>
  </r>
  <r>
    <n v="1007"/>
    <x v="6"/>
    <x v="2"/>
    <x v="2"/>
    <x v="2"/>
    <x v="6"/>
    <x v="6"/>
    <n v="80"/>
    <n v="8000"/>
    <n v="0"/>
    <n v="2000"/>
  </r>
  <r>
    <n v="1008"/>
    <x v="7"/>
    <x v="3"/>
    <x v="3"/>
    <x v="1"/>
    <x v="7"/>
    <x v="7"/>
    <n v="15000"/>
    <n v="45000"/>
    <n v="0.05"/>
    <n v="7000"/>
  </r>
  <r>
    <n v="1009"/>
    <x v="8"/>
    <x v="0"/>
    <x v="0"/>
    <x v="0"/>
    <x v="8"/>
    <x v="1"/>
    <n v="4000"/>
    <n v="40000"/>
    <n v="0"/>
    <n v="8000"/>
  </r>
  <r>
    <n v="1010"/>
    <x v="9"/>
    <x v="1"/>
    <x v="1"/>
    <x v="2"/>
    <x v="9"/>
    <x v="8"/>
    <n v="60"/>
    <n v="9000"/>
    <n v="0"/>
    <n v="2000"/>
  </r>
  <r>
    <n v="1011"/>
    <x v="10"/>
    <x v="2"/>
    <x v="2"/>
    <x v="1"/>
    <x v="10"/>
    <x v="9"/>
    <n v="55000"/>
    <n v="110000"/>
    <n v="0.1"/>
    <n v="15000"/>
  </r>
  <r>
    <n v="1012"/>
    <x v="11"/>
    <x v="3"/>
    <x v="3"/>
    <x v="0"/>
    <x v="11"/>
    <x v="0"/>
    <n v="15000"/>
    <n v="75000"/>
    <n v="0"/>
    <n v="12000"/>
  </r>
  <r>
    <n v="1013"/>
    <x v="12"/>
    <x v="0"/>
    <x v="0"/>
    <x v="2"/>
    <x v="12"/>
    <x v="10"/>
    <n v="100"/>
    <n v="8000"/>
    <n v="0"/>
    <n v="2500"/>
  </r>
  <r>
    <n v="1014"/>
    <x v="13"/>
    <x v="1"/>
    <x v="1"/>
    <x v="1"/>
    <x v="13"/>
    <x v="11"/>
    <n v="85000"/>
    <n v="85000"/>
    <n v="0.1"/>
    <n v="12000"/>
  </r>
  <r>
    <n v="1015"/>
    <x v="14"/>
    <x v="2"/>
    <x v="2"/>
    <x v="0"/>
    <x v="14"/>
    <x v="7"/>
    <n v="48000"/>
    <n v="144000"/>
    <n v="0.05"/>
    <n v="2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F7" firstHeaderRow="0" firstDataRow="1" firstDataCol="1"/>
  <pivotFields count="6">
    <pivotField axis="axisRow" showAll="0">
      <items count="6">
        <item x="1"/>
        <item x="0"/>
        <item x="2"/>
        <item x="4"/>
        <item x="3"/>
        <item t="default"/>
      </items>
    </pivotField>
    <pivotField dataField="1" showAll="0"/>
    <pivotField dataField="1"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MATHS" fld="1" baseField="0" baseItem="0"/>
    <dataField name="Sum of ENGLISH" fld="2" baseField="0" baseItem="0"/>
    <dataField name="Sum of SCIENCE" fld="3" baseField="0" baseItem="0"/>
    <dataField name="Sum of SOCIAL" fld="4" baseField="0" baseItem="0"/>
    <dataField name="Sum of TAMIL" fld="5" baseField="0" baseItem="0"/>
  </dataFields>
  <formats count="23">
    <format dxfId="138">
      <pivotArea type="all" dataOnly="0" outline="0" fieldPosition="0"/>
    </format>
    <format dxfId="137">
      <pivotArea outline="0" collapsedLevelsAreSubtotals="1" fieldPosition="0"/>
    </format>
    <format dxfId="136">
      <pivotArea dataOnly="0" labelOnly="1" fieldPosition="0">
        <references count="1">
          <reference field="0" count="0"/>
        </references>
      </pivotArea>
    </format>
    <format dxfId="135">
      <pivotArea dataOnly="0" labelOnly="1" grandRow="1" outline="0" fieldPosition="0"/>
    </format>
    <format dxfId="134">
      <pivotArea field="0" type="button" dataOnly="0" labelOnly="1" outline="0" axis="axisRow" fieldPosition="0"/>
    </format>
    <format dxfId="133">
      <pivotArea field="0" type="button" dataOnly="0" labelOnly="1" outline="0" axis="axisRow" fieldPosition="0"/>
    </format>
    <format dxfId="132">
      <pivotArea field="0" type="button" dataOnly="0" labelOnly="1" outline="0" axis="axisRow" fieldPosition="0"/>
    </format>
    <format dxfId="131">
      <pivotArea field="0" type="button" dataOnly="0" labelOnly="1" outline="0" axis="axisRow" fieldPosition="0"/>
    </format>
    <format dxfId="130">
      <pivotArea field="0" type="button" dataOnly="0" labelOnly="1" outline="0" axis="axisRow" fieldPosition="0"/>
    </format>
    <format dxfId="129">
      <pivotArea dataOnly="0" labelOnly="1" outline="0" fieldPosition="0">
        <references count="1">
          <reference field="4294967294" count="5">
            <x v="0"/>
            <x v="1"/>
            <x v="2"/>
            <x v="3"/>
            <x v="4"/>
          </reference>
        </references>
      </pivotArea>
    </format>
    <format dxfId="128">
      <pivotArea field="0" type="button" dataOnly="0" labelOnly="1" outline="0" axis="axisRow" fieldPosition="0"/>
    </format>
    <format dxfId="127">
      <pivotArea dataOnly="0" labelOnly="1" outline="0" fieldPosition="0">
        <references count="1">
          <reference field="4294967294" count="5">
            <x v="0"/>
            <x v="1"/>
            <x v="2"/>
            <x v="3"/>
            <x v="4"/>
          </reference>
        </references>
      </pivotArea>
    </format>
    <format dxfId="126">
      <pivotArea field="0" type="button" dataOnly="0" labelOnly="1" outline="0" axis="axisRow" fieldPosition="0"/>
    </format>
    <format dxfId="125">
      <pivotArea dataOnly="0" labelOnly="1" outline="0" fieldPosition="0">
        <references count="1">
          <reference field="4294967294" count="5">
            <x v="0"/>
            <x v="1"/>
            <x v="2"/>
            <x v="3"/>
            <x v="4"/>
          </reference>
        </references>
      </pivotArea>
    </format>
    <format dxfId="124">
      <pivotArea collapsedLevelsAreSubtotals="1" fieldPosition="0">
        <references count="2">
          <reference field="4294967294" count="1" selected="0">
            <x v="4"/>
          </reference>
          <reference field="0" count="1">
            <x v="0"/>
          </reference>
        </references>
      </pivotArea>
    </format>
    <format dxfId="123">
      <pivotArea dataOnly="0" labelOnly="1" outline="0" fieldPosition="0">
        <references count="1">
          <reference field="4294967294" count="1">
            <x v="2"/>
          </reference>
        </references>
      </pivotArea>
    </format>
    <format dxfId="122">
      <pivotArea dataOnly="0" labelOnly="1" outline="0" fieldPosition="0">
        <references count="1">
          <reference field="4294967294" count="1">
            <x v="2"/>
          </reference>
        </references>
      </pivotArea>
    </format>
    <format dxfId="121">
      <pivotArea dataOnly="0" labelOnly="1" outline="0" fieldPosition="0">
        <references count="1">
          <reference field="4294967294" count="1">
            <x v="2"/>
          </reference>
        </references>
      </pivotArea>
    </format>
    <format dxfId="120">
      <pivotArea dataOnly="0" labelOnly="1" fieldPosition="0">
        <references count="1">
          <reference field="0" count="0"/>
        </references>
      </pivotArea>
    </format>
    <format dxfId="119">
      <pivotArea collapsedLevelsAreSubtotals="1" fieldPosition="0">
        <references count="1">
          <reference field="0" count="0"/>
        </references>
      </pivotArea>
    </format>
    <format dxfId="118">
      <pivotArea grandRow="1" outline="0" collapsedLevelsAreSubtotals="1" fieldPosition="0"/>
    </format>
    <format dxfId="117">
      <pivotArea dataOnly="0" labelOnly="1" grandRow="1" outline="0" fieldPosition="0"/>
    </format>
    <format dxfId="116">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2:P7" firstHeaderRow="1" firstDataRow="2" firstDataCol="1"/>
  <pivotFields count="4">
    <pivotField numFmtId="15" showAll="0"/>
    <pivotField axis="axisRow" showAll="0">
      <items count="4">
        <item x="0"/>
        <item x="2"/>
        <item x="1"/>
        <item t="default"/>
      </items>
    </pivotField>
    <pivotField axis="axisCol" showAll="0">
      <items count="4">
        <item x="1"/>
        <item x="2"/>
        <item x="0"/>
        <item t="default"/>
      </items>
    </pivotField>
    <pivotField dataField="1" showAll="0"/>
  </pivotFields>
  <rowFields count="1">
    <field x="1"/>
  </rowFields>
  <rowItems count="4">
    <i>
      <x/>
    </i>
    <i>
      <x v="1"/>
    </i>
    <i>
      <x v="2"/>
    </i>
    <i t="grand">
      <x/>
    </i>
  </rowItems>
  <colFields count="1">
    <field x="2"/>
  </colFields>
  <colItems count="4">
    <i>
      <x/>
    </i>
    <i>
      <x v="1"/>
    </i>
    <i>
      <x v="2"/>
    </i>
    <i t="grand">
      <x/>
    </i>
  </colItems>
  <dataFields count="1">
    <dataField name="Sum of Sales" fld="3" baseField="0" baseItem="0"/>
  </dataFields>
  <formats count="6">
    <format dxfId="105">
      <pivotArea type="all" dataOnly="0" outline="0" fieldPosition="0"/>
    </format>
    <format dxfId="104">
      <pivotArea outline="0" collapsedLevelsAreSubtotals="1" fieldPosition="0"/>
    </format>
    <format dxfId="103">
      <pivotArea dataOnly="0" labelOnly="1" fieldPosition="0">
        <references count="1">
          <reference field="1" count="0"/>
        </references>
      </pivotArea>
    </format>
    <format dxfId="102">
      <pivotArea dataOnly="0" labelOnly="1" grandRow="1" outline="0" fieldPosition="0"/>
    </format>
    <format dxfId="101">
      <pivotArea dataOnly="0" labelOnly="1" fieldPosition="0">
        <references count="1">
          <reference field="2" count="0"/>
        </references>
      </pivotArea>
    </format>
    <format dxfId="10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
  <location ref="F2:J12" firstHeaderRow="1" firstDataRow="2" firstDataCol="1"/>
  <pivotFields count="4">
    <pivotField axis="axisRow" numFmtId="15" showAll="0">
      <items count="6">
        <item x="0"/>
        <item x="1"/>
        <item x="2"/>
        <item x="3"/>
        <item x="4"/>
        <item t="default"/>
      </items>
    </pivotField>
    <pivotField axis="axisRow" showAll="0">
      <items count="4">
        <item x="0"/>
        <item x="2"/>
        <item x="1"/>
        <item t="default"/>
      </items>
    </pivotField>
    <pivotField axis="axisCol" showAll="0">
      <items count="4">
        <item x="1"/>
        <item x="2"/>
        <item x="0"/>
        <item t="default"/>
      </items>
    </pivotField>
    <pivotField dataField="1" showAll="0">
      <items count="6">
        <item x="0"/>
        <item x="2"/>
        <item x="1"/>
        <item x="3"/>
        <item x="4"/>
        <item t="default"/>
      </items>
    </pivotField>
  </pivotFields>
  <rowFields count="2">
    <field x="1"/>
    <field x="0"/>
  </rowFields>
  <rowItems count="9">
    <i>
      <x/>
    </i>
    <i r="1">
      <x/>
    </i>
    <i r="1">
      <x v="2"/>
    </i>
    <i>
      <x v="1"/>
    </i>
    <i r="1">
      <x v="3"/>
    </i>
    <i>
      <x v="2"/>
    </i>
    <i r="1">
      <x v="1"/>
    </i>
    <i r="1">
      <x v="4"/>
    </i>
    <i t="grand">
      <x/>
    </i>
  </rowItems>
  <colFields count="1">
    <field x="2"/>
  </colFields>
  <colItems count="4">
    <i>
      <x/>
    </i>
    <i>
      <x v="1"/>
    </i>
    <i>
      <x v="2"/>
    </i>
    <i t="grand">
      <x/>
    </i>
  </colItems>
  <dataFields count="1">
    <dataField name="Sum of Sales" fld="3" baseField="0" baseItem="0"/>
  </dataFields>
  <formats count="1">
    <format dxfId="106">
      <pivotArea type="all" dataOnly="0"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filters count="1">
    <filter fld="0" type="dateBetween" evalOrder="-1" id="2"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4:B35" firstHeaderRow="0" firstDataRow="1" firstDataCol="0"/>
  <pivotFields count="5">
    <pivotField numFmtId="15" showAll="0"/>
    <pivotField showAll="0"/>
    <pivotField showAll="0"/>
    <pivotField dataField="1" showAll="0"/>
    <pivotField dataField="1" showAll="0"/>
  </pivotFields>
  <rowItems count="1">
    <i/>
  </rowItems>
  <colFields count="1">
    <field x="-2"/>
  </colFields>
  <colItems count="2">
    <i>
      <x/>
    </i>
    <i i="1">
      <x v="1"/>
    </i>
  </colItems>
  <dataFields count="2">
    <dataField name="Sum of Sales" fld="3" baseField="0" baseItem="0"/>
    <dataField name="Sum of Quantity" fld="4"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6:B30" firstHeaderRow="1" firstDataRow="1" firstDataCol="1"/>
  <pivotFields count="5">
    <pivotField numFmtId="15" showAll="0"/>
    <pivotField showAll="0"/>
    <pivotField axis="axisRow" showAll="0">
      <items count="4">
        <item x="1"/>
        <item x="2"/>
        <item x="0"/>
        <item t="default"/>
      </items>
    </pivotField>
    <pivotField dataField="1" showAll="0"/>
    <pivotField showAll="0"/>
  </pivotFields>
  <rowFields count="1">
    <field x="2"/>
  </rowFields>
  <rowItems count="4">
    <i>
      <x/>
    </i>
    <i>
      <x v="1"/>
    </i>
    <i>
      <x v="2"/>
    </i>
    <i t="grand">
      <x/>
    </i>
  </rowItems>
  <colItems count="1">
    <i/>
  </colItems>
  <dataFields count="1">
    <dataField name="Sum of Sales" fld="3" baseField="0" baseItem="0"/>
  </dataFields>
  <formats count="6">
    <format dxfId="76">
      <pivotArea type="all" dataOnly="0" outline="0" fieldPosition="0"/>
    </format>
    <format dxfId="75">
      <pivotArea outline="0" collapsedLevelsAreSubtotals="1" fieldPosition="0"/>
    </format>
    <format dxfId="74">
      <pivotArea field="2" type="button" dataOnly="0" labelOnly="1" outline="0" axis="axisRow" fieldPosition="0"/>
    </format>
    <format dxfId="73">
      <pivotArea dataOnly="0" labelOnly="1" outline="0" axis="axisValues" fieldPosition="0"/>
    </format>
    <format dxfId="72">
      <pivotArea dataOnly="0" labelOnly="1" fieldPosition="0">
        <references count="1">
          <reference field="2" count="0"/>
        </references>
      </pivotArea>
    </format>
    <format dxfId="71">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20:B22" firstHeaderRow="1" firstDataRow="1" firstDataCol="1"/>
  <pivotFields count="5">
    <pivotField axis="axisRow" numFmtId="15" showAll="0">
      <items count="15">
        <item x="0"/>
        <item x="1"/>
        <item x="2"/>
        <item x="3"/>
        <item x="4"/>
        <item x="5"/>
        <item x="6"/>
        <item x="7"/>
        <item x="8"/>
        <item x="9"/>
        <item x="10"/>
        <item x="11"/>
        <item x="12"/>
        <item x="13"/>
        <item t="default"/>
      </items>
    </pivotField>
    <pivotField showAll="0"/>
    <pivotField showAll="0"/>
    <pivotField dataField="1" showAll="0"/>
    <pivotField showAll="0"/>
  </pivotFields>
  <rowFields count="1">
    <field x="0"/>
  </rowFields>
  <rowItems count="2">
    <i>
      <x v="1"/>
    </i>
    <i t="grand">
      <x/>
    </i>
  </rowItems>
  <colItems count="1">
    <i/>
  </colItems>
  <dataFields count="1">
    <dataField name="Sum of Sales" fld="3" baseField="0" baseItem="0"/>
  </dataFields>
  <formats count="6">
    <format dxfId="82">
      <pivotArea type="all" dataOnly="0" outline="0" fieldPosition="0"/>
    </format>
    <format dxfId="81">
      <pivotArea outline="0" collapsedLevelsAreSubtotals="1" fieldPosition="0"/>
    </format>
    <format dxfId="80">
      <pivotArea field="0" type="button" dataOnly="0" labelOnly="1" outline="0" axis="axisRow" fieldPosition="0"/>
    </format>
    <format dxfId="79">
      <pivotArea dataOnly="0" labelOnly="1" outline="0" axis="axisValues" fieldPosition="0"/>
    </format>
    <format dxfId="78">
      <pivotArea dataOnly="0" labelOnly="1" fieldPosition="0">
        <references count="1">
          <reference field="0" count="1">
            <x v="1"/>
          </reference>
        </references>
      </pivotArea>
    </format>
    <format dxfId="77">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
  <location ref="A12:B16" firstHeaderRow="1" firstDataRow="1" firstDataCol="1"/>
  <pivotFields count="5">
    <pivotField numFmtId="15" showAll="0">
      <items count="15">
        <item x="0"/>
        <item x="1"/>
        <item x="2"/>
        <item x="3"/>
        <item x="4"/>
        <item x="5"/>
        <item x="6"/>
        <item x="7"/>
        <item x="8"/>
        <item x="9"/>
        <item x="10"/>
        <item x="11"/>
        <item x="12"/>
        <item x="13"/>
        <item t="default"/>
      </items>
    </pivotField>
    <pivotField axis="axisRow" showAll="0">
      <items count="4">
        <item x="0"/>
        <item x="2"/>
        <item x="1"/>
        <item t="default"/>
      </items>
    </pivotField>
    <pivotField showAll="0">
      <items count="4">
        <item x="1"/>
        <item x="2"/>
        <item x="0"/>
        <item t="default"/>
      </items>
    </pivotField>
    <pivotField dataField="1" showAll="0"/>
    <pivotField showAll="0"/>
  </pivotFields>
  <rowFields count="1">
    <field x="1"/>
  </rowFields>
  <rowItems count="4">
    <i>
      <x/>
    </i>
    <i>
      <x v="1"/>
    </i>
    <i>
      <x v="2"/>
    </i>
    <i t="grand">
      <x/>
    </i>
  </rowItems>
  <colItems count="1">
    <i/>
  </colItems>
  <dataFields count="1">
    <dataField name="Sum of Sales" fld="3" baseField="1" baseItem="0"/>
  </dataFields>
  <formats count="6">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outline="0" axis="axisValues" fieldPosition="0"/>
    </format>
    <format dxfId="84">
      <pivotArea dataOnly="0" labelOnly="1" fieldPosition="0">
        <references count="1">
          <reference field="1" count="0"/>
        </references>
      </pivotArea>
    </format>
    <format dxfId="83">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28:F35" firstHeaderRow="1" firstDataRow="1" firstDataCol="1"/>
  <pivotFields count="11">
    <pivotField showAll="0"/>
    <pivotField numFmtId="14" showAll="0"/>
    <pivotField showAll="0"/>
    <pivotField showAll="0"/>
    <pivotField showAll="0"/>
    <pivotField axis="axisRow" showAll="0" measureFilter="1">
      <items count="16">
        <item x="7"/>
        <item x="14"/>
        <item x="4"/>
        <item x="13"/>
        <item x="9"/>
        <item x="8"/>
        <item x="0"/>
        <item x="12"/>
        <item x="2"/>
        <item x="1"/>
        <item x="6"/>
        <item x="3"/>
        <item x="11"/>
        <item x="10"/>
        <item x="5"/>
        <item t="default"/>
      </items>
    </pivotField>
    <pivotField showAll="0"/>
    <pivotField showAll="0"/>
    <pivotField showAll="0"/>
    <pivotField numFmtId="9" showAll="0"/>
    <pivotField dataField="1" showAll="0"/>
  </pivotFields>
  <rowFields count="1">
    <field x="5"/>
  </rowFields>
  <rowItems count="7">
    <i>
      <x v="1"/>
    </i>
    <i>
      <x v="2"/>
    </i>
    <i>
      <x v="6"/>
    </i>
    <i>
      <x v="11"/>
    </i>
    <i>
      <x v="13"/>
    </i>
    <i>
      <x v="14"/>
    </i>
    <i t="grand">
      <x/>
    </i>
  </rowItems>
  <colItems count="1">
    <i/>
  </colItems>
  <dataFields count="1">
    <dataField name="Sum of Profit" fld="10" baseField="0" baseItem="0"/>
  </dataFields>
  <formats count="6">
    <format dxfId="42">
      <pivotArea type="all" dataOnly="0" outline="0" fieldPosition="0"/>
    </format>
    <format dxfId="41">
      <pivotArea outline="0" collapsedLevelsAreSubtotals="1" fieldPosition="0"/>
    </format>
    <format dxfId="40">
      <pivotArea field="5" type="button" dataOnly="0" labelOnly="1" outline="0" axis="axisRow" fieldPosition="0"/>
    </format>
    <format dxfId="39">
      <pivotArea dataOnly="0" labelOnly="1" outline="0" axis="axisValues" fieldPosition="0"/>
    </format>
    <format dxfId="38">
      <pivotArea dataOnly="0" labelOnly="1" fieldPosition="0">
        <references count="1">
          <reference field="5" count="6">
            <x v="1"/>
            <x v="2"/>
            <x v="6"/>
            <x v="11"/>
            <x v="13"/>
            <x v="14"/>
          </reference>
        </references>
      </pivotArea>
    </format>
    <format dxfId="37">
      <pivotArea dataOnly="0" labelOnly="1" grandRow="1" outline="0" fieldPosition="0"/>
    </format>
  </formats>
  <pivotTableStyleInfo name="PivotStyleLight16"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6"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28:C44" firstHeaderRow="1" firstDataRow="1" firstDataCol="1"/>
  <pivotFields count="11">
    <pivotField showAll="0"/>
    <pivotField axis="axisRow" numFmtId="14" showAll="0">
      <items count="16">
        <item x="0"/>
        <item x="1"/>
        <item x="2"/>
        <item x="3"/>
        <item x="4"/>
        <item x="5"/>
        <item x="6"/>
        <item x="7"/>
        <item x="8"/>
        <item x="9"/>
        <item x="10"/>
        <item x="11"/>
        <item x="12"/>
        <item x="13"/>
        <item x="14"/>
        <item t="default"/>
      </items>
    </pivotField>
    <pivotField showAll="0"/>
    <pivotField showAll="0"/>
    <pivotField showAll="0"/>
    <pivotField showAll="0"/>
    <pivotField showAll="0"/>
    <pivotField showAll="0"/>
    <pivotField dataField="1" showAll="0"/>
    <pivotField numFmtId="9"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Total Sales" fld="8" baseField="0" baseItem="0"/>
  </dataFields>
  <formats count="6">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outline="0" axis="axisValues" fieldPosition="0"/>
    </format>
    <format dxfId="44">
      <pivotArea dataOnly="0" labelOnly="1" fieldPosition="0">
        <references count="1">
          <reference field="1" count="0"/>
        </references>
      </pivotArea>
    </format>
    <format dxfId="4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4" applyNumberFormats="0" applyBorderFormats="0" applyFontFormats="0" applyPatternFormats="0" applyAlignmentFormats="0" applyWidthHeightFormats="1" dataCaption="Values" missingCaption="0" updatedVersion="5" minRefreshableVersion="3" useAutoFormatting="1" subtotalHiddenItems="1" itemPrintTitles="1" createdVersion="5" indent="0" outline="1" outlineData="1" multipleFieldFilters="0" chartFormat="1">
  <location ref="G20:K26" firstHeaderRow="1" firstDataRow="2" firstDataCol="1"/>
  <pivotFields count="3">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4">
        <item x="0"/>
        <item x="1"/>
        <item x="2"/>
        <item t="default"/>
      </items>
    </pivotField>
  </pivotFields>
  <rowFields count="1">
    <field x="0"/>
  </rowFields>
  <rowItems count="5">
    <i>
      <x/>
    </i>
    <i>
      <x v="1"/>
    </i>
    <i>
      <x v="2"/>
    </i>
    <i>
      <x v="3"/>
    </i>
    <i t="grand">
      <x/>
    </i>
  </rowItems>
  <colFields count="1">
    <field x="2"/>
  </colFields>
  <colItems count="4">
    <i>
      <x/>
    </i>
    <i>
      <x v="1"/>
    </i>
    <i>
      <x v="2"/>
    </i>
    <i t="grand">
      <x/>
    </i>
  </colItems>
  <dataFields count="1">
    <dataField name="Sum of Units Sold" fld="1" baseField="0" baseItem="0"/>
  </dataFields>
  <formats count="1">
    <format dxfId="49">
      <pivotArea type="all" dataOnly="0" outline="0"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7!$A$2:$K$17">
        <x15:activeTabTopLevelEntity name="[Range]"/>
      </x15:pivotTableUISettings>
    </ext>
  </extLst>
</pivotTableDefinition>
</file>

<file path=xl/pivotTables/pivotTable11.xml><?xml version="1.0" encoding="utf-8"?>
<pivotTableDefinition xmlns="http://schemas.openxmlformats.org/spreadsheetml/2006/main" name="PivotTable1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20:C25" firstHeaderRow="1" firstDataRow="1" firstDataCol="1"/>
  <pivotFields count="11">
    <pivotField showAll="0"/>
    <pivotField numFmtId="14" showAll="0"/>
    <pivotField axis="axisRow" showAll="0">
      <items count="5">
        <item x="2"/>
        <item x="0"/>
        <item x="1"/>
        <item x="3"/>
        <item t="default"/>
      </items>
    </pivotField>
    <pivotField showAll="0"/>
    <pivotField showAll="0"/>
    <pivotField showAll="0"/>
    <pivotField showAll="0"/>
    <pivotField showAll="0"/>
    <pivotField dataField="1" showAll="0"/>
    <pivotField numFmtId="9" showAll="0"/>
    <pivotField showAll="0"/>
  </pivotFields>
  <rowFields count="1">
    <field x="2"/>
  </rowFields>
  <rowItems count="5">
    <i>
      <x/>
    </i>
    <i>
      <x v="1"/>
    </i>
    <i>
      <x v="2"/>
    </i>
    <i>
      <x v="3"/>
    </i>
    <i t="grand">
      <x/>
    </i>
  </rowItems>
  <colItems count="1">
    <i/>
  </colItems>
  <dataFields count="1">
    <dataField name="Sum of Total Sales" fld="8" baseField="0" baseItem="0"/>
  </dataFields>
  <formats count="6">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0"/>
        </references>
      </pivotArea>
    </format>
    <format dxfId="51">
      <pivotArea dataOnly="0" labelOnly="1" grandRow="1" outline="0" fieldPosition="0"/>
    </format>
    <format dxfId="5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8:F42" firstHeaderRow="1" firstDataRow="1" firstDataCol="1"/>
  <pivotFields count="11">
    <pivotField showAll="0"/>
    <pivotField numFmtId="14" showAll="0"/>
    <pivotField showAll="0"/>
    <pivotField showAll="0"/>
    <pivotField axis="axisRow" showAll="0">
      <items count="4">
        <item x="0"/>
        <item x="1"/>
        <item x="2"/>
        <item t="default"/>
      </items>
    </pivotField>
    <pivotField showAll="0"/>
    <pivotField showAll="0">
      <items count="13">
        <item x="11"/>
        <item x="9"/>
        <item x="7"/>
        <item x="5"/>
        <item x="0"/>
        <item x="4"/>
        <item x="3"/>
        <item x="1"/>
        <item x="10"/>
        <item x="6"/>
        <item x="8"/>
        <item x="2"/>
        <item t="default"/>
      </items>
    </pivotField>
    <pivotField showAll="0"/>
    <pivotField dataField="1" showAll="0"/>
    <pivotField numFmtId="9" showAll="0"/>
    <pivotField showAll="0"/>
  </pivotFields>
  <rowFields count="1">
    <field x="4"/>
  </rowFields>
  <rowItems count="4">
    <i>
      <x/>
    </i>
    <i>
      <x v="1"/>
    </i>
    <i>
      <x v="2"/>
    </i>
    <i t="grand">
      <x/>
    </i>
  </rowItems>
  <colItems count="1">
    <i/>
  </colItems>
  <dataFields count="1">
    <dataField name="Sum of Total Sales" fld="8" baseField="0" baseItem="0"/>
  </dataFields>
  <formats count="6">
    <format dxfId="61">
      <pivotArea type="all" dataOnly="0" outline="0" fieldPosition="0"/>
    </format>
    <format dxfId="60">
      <pivotArea outline="0" collapsedLevelsAreSubtotals="1" fieldPosition="0"/>
    </format>
    <format dxfId="59">
      <pivotArea field="4" type="button" dataOnly="0" labelOnly="1" outline="0" axis="axisRow" fieldPosition="0"/>
    </format>
    <format dxfId="58">
      <pivotArea dataOnly="0" labelOnly="1" outline="0" axis="axisValues" fieldPosition="0"/>
    </format>
    <format dxfId="57">
      <pivotArea dataOnly="0" labelOnly="1" fieldPosition="0">
        <references count="1">
          <reference field="4" count="0"/>
        </references>
      </pivotArea>
    </format>
    <format dxfId="5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28:I33" firstHeaderRow="1" firstDataRow="1" firstDataCol="1"/>
  <pivotFields count="11">
    <pivotField showAll="0"/>
    <pivotField numFmtId="14" showAll="0"/>
    <pivotField axis="axisRow" showAll="0">
      <items count="5">
        <item x="2"/>
        <item x="0"/>
        <item x="1"/>
        <item x="3"/>
        <item t="default"/>
      </items>
    </pivotField>
    <pivotField showAll="0"/>
    <pivotField showAll="0"/>
    <pivotField showAll="0"/>
    <pivotField showAll="0"/>
    <pivotField showAll="0"/>
    <pivotField showAll="0"/>
    <pivotField dataField="1" numFmtId="9" showAll="0"/>
    <pivotField showAll="0"/>
  </pivotFields>
  <rowFields count="1">
    <field x="2"/>
  </rowFields>
  <rowItems count="5">
    <i>
      <x/>
    </i>
    <i>
      <x v="1"/>
    </i>
    <i>
      <x v="2"/>
    </i>
    <i>
      <x v="3"/>
    </i>
    <i t="grand">
      <x/>
    </i>
  </rowItems>
  <colItems count="1">
    <i/>
  </colItems>
  <dataFields count="1">
    <dataField name="Sum of Discount" fld="9" baseField="0" baseItem="0"/>
  </dataFields>
  <formats count="6">
    <format dxfId="67">
      <pivotArea type="all" dataOnly="0" outline="0" fieldPosition="0"/>
    </format>
    <format dxfId="66">
      <pivotArea outline="0" collapsedLevelsAreSubtotals="1" fieldPosition="0"/>
    </format>
    <format dxfId="65">
      <pivotArea field="2" type="button" dataOnly="0" labelOnly="1" outline="0" axis="axisRow" fieldPosition="0"/>
    </format>
    <format dxfId="64">
      <pivotArea dataOnly="0" labelOnly="1" outline="0" axis="axisValues" fieldPosition="0"/>
    </format>
    <format dxfId="63">
      <pivotArea dataOnly="0" labelOnly="1" fieldPosition="0">
        <references count="1">
          <reference field="2" count="0"/>
        </references>
      </pivotArea>
    </format>
    <format dxfId="6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9" name="PivotTable2"/>
  </pivotTables>
  <data>
    <tabular pivotCacheId="1">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9" name="PivotTable2"/>
    <pivotTable tabId="9" name="PivotTable4"/>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2"/>
    <pivotTable tabId="9" name="PivotTable4"/>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9" name="PivotTable2"/>
  </pivotTables>
  <data>
    <tabular pivotCacheId="1">
      <items count="5">
        <i x="0" s="1"/>
        <i x="2" s="1"/>
        <i x="1"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14" name="PivotTable3"/>
  </pivotTables>
  <data>
    <tabular pivotCacheId="2">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14" name="PivotTable3"/>
  </pivotTables>
  <data>
    <tabular pivotCacheId="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Product" cache="Slicer_Product" caption="Product" rowHeight="241300"/>
  <slicer name="Region" cache="Slicer_Region" caption="Region" rowHeight="241300"/>
  <slicer name="Sales" cache="Slicer_Sales" caption="Sale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1" caption="Region" rowHeight="241300"/>
  <slicer name="Product 1" cache="Slicer_Product1" caption="Product" rowHeight="241300"/>
</slicers>
</file>

<file path=xl/tables/table1.xml><?xml version="1.0" encoding="utf-8"?>
<table xmlns="http://schemas.openxmlformats.org/spreadsheetml/2006/main" id="5" name="Table5" displayName="Table5" ref="G19:H24" totalsRowShown="0" headerRowDxfId="112" headerRowBorderDxfId="111" tableBorderDxfId="110" totalsRowBorderDxfId="109">
  <autoFilter ref="G19:H24"/>
  <tableColumns count="2">
    <tableColumn id="1" name="INSERT TAB" dataDxfId="108"/>
    <tableColumn id="2" name="Column1" dataDxfId="107"/>
  </tableColumns>
  <tableStyleInfo name="TableStyleMedium2" showFirstColumn="0" showLastColumn="0" showRowStripes="1" showColumnStripes="0"/>
</table>
</file>

<file path=xl/tables/table2.xml><?xml version="1.0" encoding="utf-8"?>
<table xmlns="http://schemas.openxmlformats.org/spreadsheetml/2006/main" id="3" name="Table14" displayName="Table14" ref="I31:K36" totalsRowShown="0" headerRowBorderDxfId="99" tableBorderDxfId="98" totalsRowBorderDxfId="97">
  <autoFilter ref="I31:K36"/>
  <tableColumns count="3">
    <tableColumn id="1" name="Column1" dataDxfId="96"/>
    <tableColumn id="2" name="Column2" dataDxfId="95"/>
    <tableColumn id="3" name="Column3" dataDxfId="94"/>
  </tableColumns>
  <tableStyleInfo name="TableStyleMedium2" showFirstColumn="0" showLastColumn="0" showRowStripes="1" showColumnStripes="0"/>
</table>
</file>

<file path=xl/tables/table3.xml><?xml version="1.0" encoding="utf-8"?>
<table xmlns="http://schemas.openxmlformats.org/spreadsheetml/2006/main" id="4" name="Table25" displayName="Table25" ref="H31:H36" totalsRowShown="0" headerRowDxfId="93" headerRowBorderDxfId="92" tableBorderDxfId="91" totalsRowBorderDxfId="90">
  <autoFilter ref="H31:H36"/>
  <tableColumns count="1">
    <tableColumn id="1" name="Column1" dataDxfId="89"/>
  </tableColumns>
  <tableStyleInfo name="TableStyleMedium2" showFirstColumn="0" showLastColumn="0" showRowStripes="1" showColumnStripes="0"/>
</table>
</file>

<file path=xl/tables/table4.xml><?xml version="1.0" encoding="utf-8"?>
<table xmlns="http://schemas.openxmlformats.org/spreadsheetml/2006/main" id="1" name="Table1" displayName="Table1" ref="A1:F13" totalsRowShown="0" headerRowDxfId="36" dataDxfId="34" headerRowBorderDxfId="35" tableBorderDxfId="33" totalsRowBorderDxfId="32">
  <autoFilter ref="A1:F13"/>
  <tableColumns count="6">
    <tableColumn id="1" name="month" dataDxfId="31"/>
    <tableColumn id="2" name="region" dataDxfId="30"/>
    <tableColumn id="3" name="sales" dataDxfId="29"/>
    <tableColumn id="4" name="profit" dataDxfId="28"/>
    <tableColumn id="5" name="revenue" dataDxfId="27"/>
    <tableColumn id="6" name="units sold" dataDxfId="2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9" name="PivotTable2"/>
  </pivotTables>
  <state minimalRefreshVersion="6" lastRefreshVersion="6" pivotCacheId="1" filterType="dateBetween">
    <selection startDate="2025-01-01T00:00:00" endDate="2025-12-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14" name="PivotTable3"/>
  </pivotTables>
  <state minimalRefreshVersion="6" lastRefreshVersion="6" pivotCacheId="2"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0" selectionLevel="0"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2" cache="NativeTimeline_Date1" caption="Date" level="2" selectionLevel="2" scrollPosition="2025-06-06T00:00:00"/>
</timelines>
</file>

<file path=xl/worksheets/_rels/sheet1.xml.rels><?xml version="1.0" encoding="UTF-8" standalone="yes"?>
<Relationships xmlns="http://schemas.openxmlformats.org/package/2006/relationships"><Relationship Id="rId3" Type="http://schemas.openxmlformats.org/officeDocument/2006/relationships/hyperlink" Target="mailto:suresh.reddy@yahoo.com" TargetMode="External"/><Relationship Id="rId7" Type="http://schemas.openxmlformats.org/officeDocument/2006/relationships/printerSettings" Target="../printerSettings/printerSettings1.bin"/><Relationship Id="rId2" Type="http://schemas.openxmlformats.org/officeDocument/2006/relationships/hyperlink" Target="mailto:ramesh.kumar@gmail.com" TargetMode="External"/><Relationship Id="rId1" Type="http://schemas.openxmlformats.org/officeDocument/2006/relationships/pivotTable" Target="../pivotTables/pivotTable1.xml"/><Relationship Id="rId6" Type="http://schemas.openxmlformats.org/officeDocument/2006/relationships/hyperlink" Target="mailto:divya.agarwal@yahoo.com" TargetMode="External"/><Relationship Id="rId5" Type="http://schemas.openxmlformats.org/officeDocument/2006/relationships/hyperlink" Target="mailto:anil.mehera@gmail.com" TargetMode="External"/><Relationship Id="rId4" Type="http://schemas.openxmlformats.org/officeDocument/2006/relationships/hyperlink" Target="mailto:priya.sharma@outlook.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openxmlformats.org/officeDocument/2006/relationships/hyperlink" Target="mailto:ravi.finance@comapny.com" TargetMode="External"/><Relationship Id="rId2" Type="http://schemas.openxmlformats.org/officeDocument/2006/relationships/hyperlink" Target="mailto:meera.it@company.com" TargetMode="External"/><Relationship Id="rId1" Type="http://schemas.openxmlformats.org/officeDocument/2006/relationships/hyperlink" Target="mailto:john.hr@company.com" TargetMode="External"/><Relationship Id="rId6" Type="http://schemas.openxmlformats.org/officeDocument/2006/relationships/printerSettings" Target="../printerSettings/printerSettings5.bin"/><Relationship Id="rId5" Type="http://schemas.openxmlformats.org/officeDocument/2006/relationships/hyperlink" Target="mailto:arun.marketing@company.com" TargetMode="External"/><Relationship Id="rId4" Type="http://schemas.openxmlformats.org/officeDocument/2006/relationships/hyperlink" Target="mailto:priya.it@company.com"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6.xml"/><Relationship Id="rId7" Type="http://schemas.microsoft.com/office/2007/relationships/slicer" Target="../slicers/slicer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3.xml"/><Relationship Id="rId5" Type="http://schemas.openxmlformats.org/officeDocument/2006/relationships/printerSettings" Target="../printerSettings/printerSettings6.bin"/><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7.xml"/><Relationship Id="rId16" Type="http://schemas.openxmlformats.org/officeDocument/2006/relationships/ctrlProp" Target="../ctrlProps/ctrlProp13.xml"/><Relationship Id="rId1" Type="http://schemas.openxmlformats.org/officeDocument/2006/relationships/printerSettings" Target="../printerSettings/printerSettings7.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1"/>
  <sheetViews>
    <sheetView topLeftCell="A52" zoomScale="91" zoomScaleNormal="91" workbookViewId="0">
      <selection activeCell="C66" sqref="C66:D75"/>
    </sheetView>
  </sheetViews>
  <sheetFormatPr defaultRowHeight="15" x14ac:dyDescent="0.25"/>
  <cols>
    <col min="1" max="1" width="13.140625" bestFit="1" customWidth="1"/>
    <col min="2" max="2" width="15" bestFit="1" customWidth="1"/>
    <col min="3" max="3" width="15.28515625" bestFit="1" customWidth="1"/>
    <col min="4" max="4" width="15" bestFit="1" customWidth="1"/>
    <col min="5" max="5" width="14" bestFit="1" customWidth="1"/>
    <col min="6" max="6" width="25.140625" bestFit="1" customWidth="1"/>
    <col min="7" max="7" width="16" bestFit="1" customWidth="1"/>
    <col min="8" max="8" width="20.140625" customWidth="1"/>
    <col min="9" max="9" width="21.28515625" customWidth="1"/>
    <col min="10" max="10" width="20.140625" customWidth="1"/>
    <col min="11" max="11" width="11" bestFit="1" customWidth="1"/>
    <col min="12" max="12" width="15.28515625" bestFit="1" customWidth="1"/>
    <col min="13" max="13" width="14.28515625" bestFit="1" customWidth="1"/>
    <col min="16" max="16" width="15.28515625" bestFit="1" customWidth="1"/>
  </cols>
  <sheetData>
    <row r="1" spans="1:10" x14ac:dyDescent="0.25">
      <c r="A1" s="25" t="s">
        <v>103</v>
      </c>
      <c r="B1" s="20" t="s">
        <v>105</v>
      </c>
      <c r="C1" s="20" t="s">
        <v>106</v>
      </c>
      <c r="D1" s="23" t="s">
        <v>107</v>
      </c>
      <c r="E1" s="20" t="s">
        <v>108</v>
      </c>
      <c r="F1" s="20" t="s">
        <v>109</v>
      </c>
      <c r="H1" s="21"/>
    </row>
    <row r="2" spans="1:10" x14ac:dyDescent="0.25">
      <c r="A2" s="4" t="s">
        <v>53</v>
      </c>
      <c r="B2" s="26">
        <v>69</v>
      </c>
      <c r="C2" s="26">
        <v>75</v>
      </c>
      <c r="D2" s="26">
        <v>70</v>
      </c>
      <c r="E2" s="26">
        <v>77</v>
      </c>
      <c r="F2" s="26">
        <v>74</v>
      </c>
      <c r="H2" s="26">
        <v>69</v>
      </c>
      <c r="I2" s="24"/>
    </row>
    <row r="3" spans="1:10" x14ac:dyDescent="0.25">
      <c r="A3" s="4" t="s">
        <v>5</v>
      </c>
      <c r="B3" s="26">
        <v>77</v>
      </c>
      <c r="C3" s="26">
        <v>80</v>
      </c>
      <c r="D3" s="26">
        <v>78</v>
      </c>
      <c r="E3" s="26">
        <v>71</v>
      </c>
      <c r="F3" s="26">
        <v>80</v>
      </c>
      <c r="H3" s="26">
        <v>77</v>
      </c>
      <c r="I3" s="24"/>
    </row>
    <row r="4" spans="1:10" x14ac:dyDescent="0.25">
      <c r="A4" s="4" t="s">
        <v>54</v>
      </c>
      <c r="B4" s="26">
        <v>73</v>
      </c>
      <c r="C4" s="26">
        <v>84</v>
      </c>
      <c r="D4" s="26">
        <v>80</v>
      </c>
      <c r="E4" s="26">
        <v>86</v>
      </c>
      <c r="F4" s="26">
        <v>70</v>
      </c>
      <c r="H4" s="26">
        <v>73</v>
      </c>
      <c r="I4" s="24"/>
    </row>
    <row r="5" spans="1:10" x14ac:dyDescent="0.25">
      <c r="A5" s="4" t="s">
        <v>9</v>
      </c>
      <c r="B5" s="26">
        <v>79</v>
      </c>
      <c r="C5" s="26">
        <v>69</v>
      </c>
      <c r="D5" s="26">
        <v>72</v>
      </c>
      <c r="E5" s="26">
        <v>80</v>
      </c>
      <c r="F5" s="26">
        <v>82</v>
      </c>
      <c r="H5" s="26">
        <v>79</v>
      </c>
      <c r="I5" s="24"/>
    </row>
    <row r="6" spans="1:10" x14ac:dyDescent="0.25">
      <c r="A6" s="4" t="s">
        <v>55</v>
      </c>
      <c r="B6" s="26">
        <v>70</v>
      </c>
      <c r="C6" s="26">
        <v>71</v>
      </c>
      <c r="D6" s="26">
        <v>79</v>
      </c>
      <c r="E6" s="26">
        <v>72</v>
      </c>
      <c r="F6" s="26">
        <v>79</v>
      </c>
      <c r="G6" s="22"/>
      <c r="H6" s="26">
        <v>70</v>
      </c>
      <c r="I6" s="24"/>
    </row>
    <row r="7" spans="1:10" x14ac:dyDescent="0.25">
      <c r="A7" s="27" t="s">
        <v>104</v>
      </c>
      <c r="B7" s="28">
        <v>368</v>
      </c>
      <c r="C7" s="28">
        <v>379</v>
      </c>
      <c r="D7" s="28">
        <v>379</v>
      </c>
      <c r="E7" s="28">
        <v>386</v>
      </c>
      <c r="F7" s="28">
        <v>385</v>
      </c>
      <c r="H7" s="1">
        <f>SUM(H2:H6)</f>
        <v>368</v>
      </c>
    </row>
    <row r="8" spans="1:10" x14ac:dyDescent="0.25">
      <c r="H8" s="1">
        <f>AVERAGE(H2:H7)</f>
        <v>122.66666666666667</v>
      </c>
    </row>
    <row r="9" spans="1:10" x14ac:dyDescent="0.25">
      <c r="H9" s="1">
        <f>COUNT(H2:H6)</f>
        <v>5</v>
      </c>
    </row>
    <row r="10" spans="1:10" x14ac:dyDescent="0.25">
      <c r="H10" s="1">
        <f>MAX(H2:H7)</f>
        <v>368</v>
      </c>
    </row>
    <row r="11" spans="1:10" x14ac:dyDescent="0.25">
      <c r="H11" s="1">
        <f>MIN(H2:H8)</f>
        <v>69</v>
      </c>
    </row>
    <row r="12" spans="1:10" x14ac:dyDescent="0.25">
      <c r="J12" s="1">
        <f ca="1">RAND()</f>
        <v>0.91183938812352705</v>
      </c>
    </row>
    <row r="13" spans="1:10" x14ac:dyDescent="0.25">
      <c r="A13" s="148" t="s">
        <v>115</v>
      </c>
      <c r="B13" s="148"/>
      <c r="C13" s="148"/>
      <c r="D13" s="148"/>
      <c r="J13" s="1">
        <f>SQRT(70)</f>
        <v>8.3666002653407556</v>
      </c>
    </row>
    <row r="14" spans="1:10" x14ac:dyDescent="0.25">
      <c r="A14" s="30" t="s">
        <v>34</v>
      </c>
      <c r="B14" s="30" t="s">
        <v>47</v>
      </c>
      <c r="C14" s="30" t="s">
        <v>116</v>
      </c>
      <c r="D14" s="30" t="s">
        <v>46</v>
      </c>
      <c r="E14" s="32" t="s">
        <v>123</v>
      </c>
      <c r="I14" s="10">
        <v>29867</v>
      </c>
      <c r="J14" s="10">
        <f>I14+5</f>
        <v>29872</v>
      </c>
    </row>
    <row r="15" spans="1:10" x14ac:dyDescent="0.25">
      <c r="A15" s="4" t="s">
        <v>117</v>
      </c>
      <c r="B15" s="4">
        <v>70</v>
      </c>
      <c r="C15" s="4">
        <v>80</v>
      </c>
      <c r="D15" s="4">
        <v>90</v>
      </c>
      <c r="E15" s="1">
        <f>VLOOKUP(A15,A14:D18,2,0)</f>
        <v>70</v>
      </c>
    </row>
    <row r="16" spans="1:10" x14ac:dyDescent="0.25">
      <c r="A16" s="4" t="s">
        <v>118</v>
      </c>
      <c r="B16" s="4">
        <v>80</v>
      </c>
      <c r="C16" s="4">
        <v>95</v>
      </c>
      <c r="D16" s="4">
        <v>97</v>
      </c>
      <c r="E16" s="1">
        <f>VLOOKUP(A16,A15:D19,2,0)</f>
        <v>80</v>
      </c>
    </row>
    <row r="17" spans="1:9" x14ac:dyDescent="0.25">
      <c r="A17" s="4" t="s">
        <v>119</v>
      </c>
      <c r="B17" s="4">
        <v>75</v>
      </c>
      <c r="C17" s="4">
        <v>85</v>
      </c>
      <c r="D17" s="4">
        <v>75</v>
      </c>
      <c r="E17" s="1">
        <f t="shared" ref="E17:E18" si="0">VLOOKUP(A17,A16:D20,2,0)</f>
        <v>75</v>
      </c>
    </row>
    <row r="18" spans="1:9" x14ac:dyDescent="0.25">
      <c r="A18" s="4" t="s">
        <v>120</v>
      </c>
      <c r="B18" s="4">
        <v>78</v>
      </c>
      <c r="C18" s="4">
        <v>68</v>
      </c>
      <c r="D18" s="4">
        <v>78</v>
      </c>
      <c r="E18" s="1">
        <f t="shared" si="0"/>
        <v>78</v>
      </c>
    </row>
    <row r="20" spans="1:9" x14ac:dyDescent="0.25">
      <c r="A20" s="31" t="s">
        <v>121</v>
      </c>
      <c r="B20" s="31" t="s">
        <v>49</v>
      </c>
      <c r="D20" s="29" t="s">
        <v>34</v>
      </c>
      <c r="E20" s="29" t="s">
        <v>122</v>
      </c>
      <c r="F20" s="29" t="s">
        <v>124</v>
      </c>
    </row>
    <row r="21" spans="1:9" x14ac:dyDescent="0.25">
      <c r="A21" s="16" t="s">
        <v>117</v>
      </c>
      <c r="B21" s="16">
        <v>70</v>
      </c>
      <c r="D21" s="1" t="s">
        <v>118</v>
      </c>
      <c r="E21" s="1" t="s">
        <v>116</v>
      </c>
      <c r="F21" s="1">
        <f>HLOOKUP(E21,A14:D18,3,0)</f>
        <v>95</v>
      </c>
    </row>
    <row r="22" spans="1:9" x14ac:dyDescent="0.25">
      <c r="A22" s="16" t="s">
        <v>118</v>
      </c>
      <c r="B22" s="16">
        <v>80</v>
      </c>
      <c r="D22" s="1" t="s">
        <v>119</v>
      </c>
      <c r="E22" s="1" t="s">
        <v>47</v>
      </c>
      <c r="F22" s="1">
        <f>HLOOKUP(E22,A14:D18,2,0)</f>
        <v>70</v>
      </c>
    </row>
    <row r="23" spans="1:9" x14ac:dyDescent="0.25">
      <c r="A23" s="16" t="s">
        <v>119</v>
      </c>
      <c r="B23" s="16">
        <v>75</v>
      </c>
      <c r="D23" s="33" t="s">
        <v>5</v>
      </c>
      <c r="E23" s="33" t="s">
        <v>47</v>
      </c>
      <c r="F23" s="1">
        <f>VLOOKUP(A3,A2:E6,3,0)</f>
        <v>80</v>
      </c>
    </row>
    <row r="24" spans="1:9" x14ac:dyDescent="0.25">
      <c r="A24" s="16" t="s">
        <v>120</v>
      </c>
      <c r="B24" s="16">
        <v>78</v>
      </c>
    </row>
    <row r="27" spans="1:9" x14ac:dyDescent="0.25">
      <c r="B27" s="148" t="s">
        <v>130</v>
      </c>
      <c r="C27" s="148"/>
      <c r="D27" s="148"/>
      <c r="E27" s="148"/>
      <c r="F27" s="148"/>
      <c r="G27" s="148"/>
      <c r="H27" s="148"/>
    </row>
    <row r="28" spans="1:9" x14ac:dyDescent="0.25">
      <c r="B28" s="34" t="s">
        <v>125</v>
      </c>
      <c r="C28" s="34" t="s">
        <v>34</v>
      </c>
      <c r="D28" s="34" t="s">
        <v>126</v>
      </c>
      <c r="E28" s="34" t="s">
        <v>122</v>
      </c>
      <c r="F28" s="34" t="s">
        <v>127</v>
      </c>
      <c r="G28" s="34" t="s">
        <v>128</v>
      </c>
      <c r="H28" s="34" t="s">
        <v>129</v>
      </c>
    </row>
    <row r="29" spans="1:9" x14ac:dyDescent="0.25">
      <c r="B29" s="4">
        <v>101</v>
      </c>
      <c r="C29" s="4" t="s">
        <v>131</v>
      </c>
      <c r="D29" s="4">
        <v>85</v>
      </c>
      <c r="E29" s="4" t="s">
        <v>136</v>
      </c>
      <c r="F29" s="13" t="s">
        <v>140</v>
      </c>
      <c r="G29" s="4" t="s">
        <v>145</v>
      </c>
      <c r="H29" s="4">
        <f>LOOKUP(104,B29:B33,D29:D33)</f>
        <v>66</v>
      </c>
      <c r="I29" t="str">
        <f>SUBSTITUTE(F29,F29,F30)</f>
        <v>suresh.reddy@yahoo.com</v>
      </c>
    </row>
    <row r="30" spans="1:9" x14ac:dyDescent="0.25">
      <c r="B30" s="4">
        <v>102</v>
      </c>
      <c r="C30" s="4" t="s">
        <v>132</v>
      </c>
      <c r="D30" s="4">
        <v>78</v>
      </c>
      <c r="E30" s="4" t="s">
        <v>137</v>
      </c>
      <c r="F30" s="13" t="s">
        <v>142</v>
      </c>
      <c r="G30" s="4" t="s">
        <v>146</v>
      </c>
      <c r="H30" s="4" t="str">
        <f>VLOOKUP("Suresh Reddy",C29:E33,3,0)</f>
        <v>Science</v>
      </c>
    </row>
    <row r="31" spans="1:9" x14ac:dyDescent="0.25">
      <c r="B31" s="4">
        <v>103</v>
      </c>
      <c r="C31" s="4" t="s">
        <v>133</v>
      </c>
      <c r="D31" s="4">
        <v>92</v>
      </c>
      <c r="E31" s="4" t="s">
        <v>138</v>
      </c>
      <c r="F31" s="13" t="s">
        <v>143</v>
      </c>
      <c r="G31" s="4" t="s">
        <v>147</v>
      </c>
      <c r="H31" s="4" t="str">
        <f>VLOOKUP(103,B29:F33,5,0)</f>
        <v>priya.sharma@outlook.com</v>
      </c>
    </row>
    <row r="32" spans="1:9" x14ac:dyDescent="0.25">
      <c r="B32" s="4">
        <v>104</v>
      </c>
      <c r="C32" s="4" t="s">
        <v>134</v>
      </c>
      <c r="D32" s="4">
        <v>66</v>
      </c>
      <c r="E32" s="4" t="s">
        <v>139</v>
      </c>
      <c r="F32" s="13" t="s">
        <v>141</v>
      </c>
      <c r="G32" s="4" t="s">
        <v>148</v>
      </c>
      <c r="H32" s="4"/>
    </row>
    <row r="33" spans="2:13" x14ac:dyDescent="0.25">
      <c r="B33" s="4">
        <v>105</v>
      </c>
      <c r="C33" s="4" t="s">
        <v>135</v>
      </c>
      <c r="D33" s="4">
        <v>88</v>
      </c>
      <c r="E33" s="4" t="s">
        <v>136</v>
      </c>
      <c r="F33" s="13" t="s">
        <v>144</v>
      </c>
      <c r="G33" s="4" t="s">
        <v>149</v>
      </c>
      <c r="H33" s="4"/>
    </row>
    <row r="34" spans="2:13" ht="15.75" thickBot="1" x14ac:dyDescent="0.3"/>
    <row r="35" spans="2:13" x14ac:dyDescent="0.25">
      <c r="B35" s="150" t="s">
        <v>160</v>
      </c>
      <c r="C35" s="149" t="s">
        <v>122</v>
      </c>
      <c r="D35" s="149"/>
      <c r="E35" s="149"/>
      <c r="F35" s="149"/>
      <c r="G35" s="149"/>
      <c r="H35" s="149"/>
      <c r="I35" s="35" t="s">
        <v>155</v>
      </c>
      <c r="J35" s="35" t="s">
        <v>156</v>
      </c>
      <c r="K35" s="149" t="s">
        <v>157</v>
      </c>
      <c r="L35" s="149"/>
      <c r="M35" s="36" t="s">
        <v>154</v>
      </c>
    </row>
    <row r="36" spans="2:13" x14ac:dyDescent="0.25">
      <c r="B36" s="151"/>
      <c r="C36" s="14" t="s">
        <v>46</v>
      </c>
      <c r="D36" s="14" t="s">
        <v>47</v>
      </c>
      <c r="E36" s="14" t="s">
        <v>48</v>
      </c>
      <c r="F36" s="14" t="s">
        <v>49</v>
      </c>
      <c r="G36" s="14" t="s">
        <v>50</v>
      </c>
      <c r="H36" s="14" t="s">
        <v>150</v>
      </c>
      <c r="I36" s="14" t="s">
        <v>151</v>
      </c>
      <c r="J36" s="14" t="s">
        <v>159</v>
      </c>
      <c r="K36" s="14" t="s">
        <v>152</v>
      </c>
      <c r="L36" s="14" t="s">
        <v>153</v>
      </c>
      <c r="M36" s="37" t="s">
        <v>158</v>
      </c>
    </row>
    <row r="37" spans="2:13" x14ac:dyDescent="0.25">
      <c r="B37" s="38" t="s">
        <v>5</v>
      </c>
      <c r="C37" s="4">
        <v>77</v>
      </c>
      <c r="D37" s="4">
        <v>80</v>
      </c>
      <c r="E37" s="4">
        <v>78</v>
      </c>
      <c r="F37" s="4">
        <v>71</v>
      </c>
      <c r="G37" s="4">
        <v>80</v>
      </c>
      <c r="H37" s="4">
        <f>SUM(C37:G37)</f>
        <v>386</v>
      </c>
      <c r="I37" s="1" t="b">
        <f>D37=80</f>
        <v>1</v>
      </c>
      <c r="J37" s="1" t="b">
        <f>E37&gt;70</f>
        <v>1</v>
      </c>
      <c r="K37" s="1" t="b">
        <f>AND(I37,J37)</f>
        <v>1</v>
      </c>
      <c r="L37" s="1" t="b">
        <f>OR(I37,J37)</f>
        <v>1</v>
      </c>
      <c r="M37" s="39" t="str">
        <f>IF(H37&gt;370,"FIRST CLASS","SECOND CLASS")</f>
        <v>FIRST CLASS</v>
      </c>
    </row>
    <row r="38" spans="2:13" x14ac:dyDescent="0.25">
      <c r="B38" s="38" t="s">
        <v>53</v>
      </c>
      <c r="C38" s="4">
        <v>69</v>
      </c>
      <c r="D38" s="4">
        <v>75</v>
      </c>
      <c r="E38" s="4">
        <v>70</v>
      </c>
      <c r="F38" s="4">
        <v>77</v>
      </c>
      <c r="G38" s="4">
        <v>74</v>
      </c>
      <c r="H38" s="4">
        <f t="shared" ref="H38:H41" si="1">SUM(C38:G38)</f>
        <v>365</v>
      </c>
      <c r="I38" s="1" t="b">
        <f>D38=80</f>
        <v>0</v>
      </c>
      <c r="J38" s="1" t="b">
        <f t="shared" ref="J38:J41" si="2">E38&gt;70</f>
        <v>0</v>
      </c>
      <c r="K38" s="1" t="b">
        <f t="shared" ref="K38:K41" si="3">AND(I38,J38)</f>
        <v>0</v>
      </c>
      <c r="L38" s="1" t="b">
        <f t="shared" ref="L38:L41" si="4">OR(I38,J38)</f>
        <v>0</v>
      </c>
      <c r="M38" s="39" t="str">
        <f>IF(H38&gt;370,"FIRST CLASS","SECOND CLASS")</f>
        <v>SECOND CLASS</v>
      </c>
    </row>
    <row r="39" spans="2:13" x14ac:dyDescent="0.25">
      <c r="B39" s="38" t="s">
        <v>54</v>
      </c>
      <c r="C39" s="4">
        <v>73</v>
      </c>
      <c r="D39" s="4">
        <v>84</v>
      </c>
      <c r="E39" s="4">
        <v>80</v>
      </c>
      <c r="F39" s="4">
        <v>86</v>
      </c>
      <c r="G39" s="4">
        <v>70</v>
      </c>
      <c r="H39" s="4">
        <f t="shared" si="1"/>
        <v>393</v>
      </c>
      <c r="I39" s="1" t="b">
        <f>D39=80</f>
        <v>0</v>
      </c>
      <c r="J39" s="1" t="b">
        <f t="shared" si="2"/>
        <v>1</v>
      </c>
      <c r="K39" s="1" t="b">
        <f t="shared" si="3"/>
        <v>0</v>
      </c>
      <c r="L39" s="1" t="b">
        <f t="shared" si="4"/>
        <v>1</v>
      </c>
      <c r="M39" s="39" t="str">
        <f>IF(H39&gt;370,"FIRST CLASS","SECOND CLASS")</f>
        <v>FIRST CLASS</v>
      </c>
    </row>
    <row r="40" spans="2:13" x14ac:dyDescent="0.25">
      <c r="B40" s="38" t="s">
        <v>55</v>
      </c>
      <c r="C40" s="4">
        <v>70</v>
      </c>
      <c r="D40" s="4">
        <v>71</v>
      </c>
      <c r="E40" s="4">
        <v>79</v>
      </c>
      <c r="F40" s="4">
        <v>72</v>
      </c>
      <c r="G40" s="4">
        <v>79</v>
      </c>
      <c r="H40" s="4">
        <f t="shared" si="1"/>
        <v>371</v>
      </c>
      <c r="I40" s="1" t="b">
        <f>D40=80</f>
        <v>0</v>
      </c>
      <c r="J40" s="1" t="b">
        <f t="shared" si="2"/>
        <v>1</v>
      </c>
      <c r="K40" s="1" t="b">
        <f t="shared" si="3"/>
        <v>0</v>
      </c>
      <c r="L40" s="1" t="b">
        <f t="shared" si="4"/>
        <v>1</v>
      </c>
      <c r="M40" s="39" t="str">
        <f>IF(H40&gt;370,"FIRST CLASS","SECOND CLASS")</f>
        <v>FIRST CLASS</v>
      </c>
    </row>
    <row r="41" spans="2:13" ht="15.75" thickBot="1" x14ac:dyDescent="0.3">
      <c r="B41" s="40" t="s">
        <v>9</v>
      </c>
      <c r="C41" s="41">
        <v>79</v>
      </c>
      <c r="D41" s="41">
        <v>69</v>
      </c>
      <c r="E41" s="41">
        <v>72</v>
      </c>
      <c r="F41" s="41">
        <v>80</v>
      </c>
      <c r="G41" s="41">
        <v>82</v>
      </c>
      <c r="H41" s="41">
        <f t="shared" si="1"/>
        <v>382</v>
      </c>
      <c r="I41" s="42" t="b">
        <f>D41=80</f>
        <v>0</v>
      </c>
      <c r="J41" s="42" t="b">
        <f t="shared" si="2"/>
        <v>1</v>
      </c>
      <c r="K41" s="42" t="b">
        <f t="shared" si="3"/>
        <v>0</v>
      </c>
      <c r="L41" s="42" t="b">
        <f t="shared" si="4"/>
        <v>1</v>
      </c>
      <c r="M41" s="43" t="str">
        <f t="shared" ref="M41" si="5">IF(H41,"FIRST CLASS","SECOND CLASS")</f>
        <v>FIRST CLASS</v>
      </c>
    </row>
    <row r="43" spans="2:13" x14ac:dyDescent="0.25">
      <c r="B43" s="4" t="s">
        <v>5</v>
      </c>
      <c r="C43" s="1" t="str">
        <f>LOWER(B43)</f>
        <v>krishna</v>
      </c>
      <c r="D43" s="1" t="s">
        <v>161</v>
      </c>
      <c r="E43" s="4" t="s">
        <v>162</v>
      </c>
      <c r="F43" s="1" t="str">
        <f>CONCATENATE(E43,D43)</f>
        <v>Ramesh Kumar</v>
      </c>
    </row>
    <row r="44" spans="2:13" x14ac:dyDescent="0.25">
      <c r="B44" s="4" t="s">
        <v>131</v>
      </c>
      <c r="C44" s="1" t="str">
        <f>UPPER(B44)</f>
        <v>RAMESH KUMAR</v>
      </c>
      <c r="D44" s="1" t="s">
        <v>75</v>
      </c>
      <c r="E44" s="1" t="s">
        <v>163</v>
      </c>
      <c r="F44" s="1" t="str">
        <f>CONCATENATE(D44," ",E44)</f>
        <v>Priya Sharma</v>
      </c>
    </row>
    <row r="45" spans="2:13" x14ac:dyDescent="0.25">
      <c r="B45" s="4" t="s">
        <v>131</v>
      </c>
      <c r="C45" s="1" t="str">
        <f>PROPER(B44)</f>
        <v>Ramesh Kumar</v>
      </c>
      <c r="D45" s="1" t="s">
        <v>164</v>
      </c>
      <c r="E45" s="1" t="str">
        <f>REPLACE(D45,1,7,"Team Leader")</f>
        <v>Team Leader</v>
      </c>
      <c r="F45" s="1"/>
    </row>
    <row r="48" spans="2:13" x14ac:dyDescent="0.25">
      <c r="C48" s="147" t="s">
        <v>185</v>
      </c>
      <c r="D48" s="147"/>
      <c r="E48" s="1">
        <f ca="1">DAY(NOW())</f>
        <v>20</v>
      </c>
    </row>
    <row r="49" spans="2:10" x14ac:dyDescent="0.25">
      <c r="C49" s="4" t="s">
        <v>186</v>
      </c>
      <c r="D49" s="1"/>
      <c r="E49" s="1">
        <f ca="1">MONTH(NOW())</f>
        <v>1</v>
      </c>
    </row>
    <row r="50" spans="2:10" x14ac:dyDescent="0.25">
      <c r="C50" s="4" t="s">
        <v>187</v>
      </c>
      <c r="D50" s="1"/>
      <c r="E50" s="1">
        <f ca="1">YEAR(NOW())</f>
        <v>2026</v>
      </c>
    </row>
    <row r="52" spans="2:10" x14ac:dyDescent="0.25">
      <c r="B52" s="29" t="s">
        <v>110</v>
      </c>
      <c r="C52" s="29" t="s">
        <v>111</v>
      </c>
      <c r="D52" s="29" t="s">
        <v>112</v>
      </c>
      <c r="E52" s="29" t="s">
        <v>113</v>
      </c>
    </row>
    <row r="53" spans="2:10" x14ac:dyDescent="0.25">
      <c r="B53" s="4" t="s">
        <v>5</v>
      </c>
      <c r="C53" s="4" t="s">
        <v>54</v>
      </c>
      <c r="D53" s="4" t="s">
        <v>5</v>
      </c>
      <c r="E53" s="4" t="s">
        <v>55</v>
      </c>
      <c r="G53" s="146" t="s">
        <v>235</v>
      </c>
      <c r="H53" s="146"/>
    </row>
    <row r="54" spans="2:10" x14ac:dyDescent="0.25">
      <c r="B54" s="26">
        <v>69</v>
      </c>
      <c r="C54" s="26">
        <v>75</v>
      </c>
      <c r="D54" s="26">
        <v>69</v>
      </c>
      <c r="E54" s="26">
        <v>70</v>
      </c>
      <c r="G54" s="55" t="s">
        <v>236</v>
      </c>
      <c r="H54" s="55" t="s">
        <v>237</v>
      </c>
    </row>
    <row r="55" spans="2:10" x14ac:dyDescent="0.25">
      <c r="B55" s="26"/>
      <c r="C55" s="4" t="s">
        <v>9</v>
      </c>
      <c r="D55" s="26"/>
      <c r="E55" s="26"/>
      <c r="G55" s="1">
        <v>12345</v>
      </c>
      <c r="H55" s="1">
        <f>IF(EXACT(G55,G56),0,1)</f>
        <v>1</v>
      </c>
    </row>
    <row r="56" spans="2:10" x14ac:dyDescent="0.25">
      <c r="B56" s="26">
        <v>77</v>
      </c>
      <c r="C56" s="26">
        <v>80</v>
      </c>
      <c r="D56" s="26">
        <v>77</v>
      </c>
      <c r="E56" s="26">
        <v>78</v>
      </c>
      <c r="G56" s="1">
        <v>67890</v>
      </c>
      <c r="H56" s="1">
        <f>IF(EXACT(G55,G57),0,1)</f>
        <v>1</v>
      </c>
    </row>
    <row r="57" spans="2:10" x14ac:dyDescent="0.25">
      <c r="B57" s="26"/>
      <c r="C57" s="26">
        <v>84</v>
      </c>
      <c r="D57" s="26"/>
      <c r="E57" s="26">
        <v>80</v>
      </c>
      <c r="G57" s="1">
        <v>67890</v>
      </c>
      <c r="H57" s="1">
        <f>IF(EXACT(G56,G57),0,1)</f>
        <v>0</v>
      </c>
    </row>
    <row r="58" spans="2:10" x14ac:dyDescent="0.25">
      <c r="B58" s="26">
        <v>73</v>
      </c>
      <c r="C58" s="26">
        <v>69</v>
      </c>
      <c r="D58" s="26">
        <v>73</v>
      </c>
      <c r="E58" s="26"/>
    </row>
    <row r="59" spans="2:10" x14ac:dyDescent="0.25">
      <c r="B59" s="26">
        <v>79</v>
      </c>
      <c r="C59" s="4" t="s">
        <v>55</v>
      </c>
      <c r="D59" s="26">
        <v>79</v>
      </c>
      <c r="E59" s="26">
        <v>72</v>
      </c>
    </row>
    <row r="60" spans="2:10" x14ac:dyDescent="0.25">
      <c r="B60" s="26">
        <v>70</v>
      </c>
      <c r="C60" s="26">
        <v>71</v>
      </c>
      <c r="D60" s="26">
        <v>70</v>
      </c>
      <c r="E60" s="26">
        <v>79</v>
      </c>
    </row>
    <row r="61" spans="2:10" x14ac:dyDescent="0.25">
      <c r="B61" s="1">
        <f>COUNT(B53:B60)</f>
        <v>5</v>
      </c>
      <c r="C61" s="1">
        <f>COUNTA(C53:C60)</f>
        <v>8</v>
      </c>
      <c r="D61" s="1">
        <f>COUNTBLANK(D53:D60)</f>
        <v>2</v>
      </c>
      <c r="E61" s="1">
        <f>COUNTIF(E54:E60,"&lt;80")</f>
        <v>4</v>
      </c>
    </row>
    <row r="64" spans="2:10" x14ac:dyDescent="0.25">
      <c r="B64" s="152" t="s">
        <v>214</v>
      </c>
      <c r="C64" s="152"/>
      <c r="D64" s="152"/>
      <c r="E64" s="152"/>
      <c r="G64" s="153" t="s">
        <v>222</v>
      </c>
      <c r="H64" s="153"/>
      <c r="I64" s="153"/>
      <c r="J64" s="153"/>
    </row>
    <row r="65" spans="2:11" x14ac:dyDescent="0.25">
      <c r="B65" s="54" t="s">
        <v>210</v>
      </c>
      <c r="C65" s="54" t="s">
        <v>211</v>
      </c>
      <c r="D65" s="54" t="s">
        <v>212</v>
      </c>
      <c r="E65" s="54" t="s">
        <v>213</v>
      </c>
      <c r="G65" s="145" t="s">
        <v>223</v>
      </c>
      <c r="H65" s="145"/>
      <c r="I65" s="145"/>
      <c r="J65" s="145"/>
    </row>
    <row r="66" spans="2:11" x14ac:dyDescent="0.25">
      <c r="B66" s="4" t="s">
        <v>215</v>
      </c>
      <c r="C66" s="4" t="s">
        <v>218</v>
      </c>
      <c r="D66" s="4">
        <v>430</v>
      </c>
      <c r="E66" s="4">
        <v>14190</v>
      </c>
      <c r="G66" s="15" t="s">
        <v>210</v>
      </c>
      <c r="H66" s="155" t="s">
        <v>224</v>
      </c>
      <c r="I66" s="155"/>
      <c r="J66" s="1"/>
    </row>
    <row r="67" spans="2:11" x14ac:dyDescent="0.25">
      <c r="B67" s="4" t="s">
        <v>215</v>
      </c>
      <c r="C67" s="4" t="s">
        <v>219</v>
      </c>
      <c r="D67" s="4">
        <v>448</v>
      </c>
      <c r="E67" s="4">
        <v>14784</v>
      </c>
      <c r="G67" s="1" t="s">
        <v>216</v>
      </c>
      <c r="H67" s="1">
        <f>SUMIFS(D66:D75,B66:B75,G67)</f>
        <v>1075</v>
      </c>
    </row>
    <row r="68" spans="2:11" x14ac:dyDescent="0.25">
      <c r="B68" s="4" t="s">
        <v>216</v>
      </c>
      <c r="C68" s="4" t="s">
        <v>221</v>
      </c>
      <c r="D68" s="4">
        <v>468</v>
      </c>
      <c r="E68" s="4">
        <v>15444</v>
      </c>
      <c r="G68" s="1" t="s">
        <v>217</v>
      </c>
      <c r="H68" s="1">
        <f>SUMIFS(B66:B73,D66:D73,G68)</f>
        <v>0</v>
      </c>
    </row>
    <row r="69" spans="2:11" x14ac:dyDescent="0.25">
      <c r="B69" s="4" t="s">
        <v>216</v>
      </c>
      <c r="C69" s="4" t="s">
        <v>220</v>
      </c>
      <c r="D69" s="4">
        <v>170</v>
      </c>
      <c r="E69" s="4">
        <v>5610</v>
      </c>
    </row>
    <row r="70" spans="2:11" x14ac:dyDescent="0.25">
      <c r="B70" s="4" t="s">
        <v>217</v>
      </c>
      <c r="C70" s="4" t="s">
        <v>220</v>
      </c>
      <c r="D70" s="4">
        <v>483</v>
      </c>
      <c r="E70" s="4">
        <v>15972</v>
      </c>
      <c r="G70" s="153" t="s">
        <v>225</v>
      </c>
      <c r="H70" s="153"/>
      <c r="I70" s="153"/>
    </row>
    <row r="71" spans="2:11" x14ac:dyDescent="0.25">
      <c r="B71" s="4" t="s">
        <v>215</v>
      </c>
      <c r="C71" s="4" t="s">
        <v>221</v>
      </c>
      <c r="D71" s="4">
        <v>460</v>
      </c>
      <c r="E71" s="4">
        <v>15180</v>
      </c>
      <c r="G71" s="154" t="s">
        <v>180</v>
      </c>
      <c r="H71" s="154"/>
      <c r="I71" s="154"/>
    </row>
    <row r="72" spans="2:11" x14ac:dyDescent="0.25">
      <c r="B72" s="4" t="s">
        <v>216</v>
      </c>
      <c r="C72" s="4" t="s">
        <v>218</v>
      </c>
      <c r="D72" s="4">
        <v>301</v>
      </c>
      <c r="E72" s="4">
        <v>933</v>
      </c>
      <c r="G72" s="15" t="s">
        <v>211</v>
      </c>
      <c r="H72" s="15" t="s">
        <v>226</v>
      </c>
      <c r="I72" s="1"/>
    </row>
    <row r="73" spans="2:11" x14ac:dyDescent="0.25">
      <c r="B73" s="4" t="s">
        <v>217</v>
      </c>
      <c r="C73" s="4" t="s">
        <v>218</v>
      </c>
      <c r="D73" s="4">
        <v>225</v>
      </c>
      <c r="E73" s="4">
        <v>7425</v>
      </c>
      <c r="G73" s="1" t="s">
        <v>227</v>
      </c>
      <c r="H73" s="1">
        <f>COUNTIFS(C66:C75,G73)</f>
        <v>2</v>
      </c>
    </row>
    <row r="74" spans="2:11" x14ac:dyDescent="0.25">
      <c r="B74" s="16" t="s">
        <v>215</v>
      </c>
      <c r="C74" s="4" t="s">
        <v>219</v>
      </c>
      <c r="D74" s="4">
        <v>473</v>
      </c>
      <c r="E74" s="4">
        <v>15609</v>
      </c>
    </row>
    <row r="75" spans="2:11" x14ac:dyDescent="0.25">
      <c r="B75" s="4" t="s">
        <v>216</v>
      </c>
      <c r="C75" s="4" t="s">
        <v>219</v>
      </c>
      <c r="D75" s="4">
        <v>136</v>
      </c>
      <c r="E75" s="4">
        <v>4488</v>
      </c>
      <c r="G75" s="146" t="s">
        <v>229</v>
      </c>
      <c r="H75" s="146"/>
      <c r="I75" s="146"/>
      <c r="J75" s="146"/>
      <c r="K75" s="146"/>
    </row>
    <row r="76" spans="2:11" x14ac:dyDescent="0.25">
      <c r="G76" s="55" t="s">
        <v>230</v>
      </c>
      <c r="H76" s="55" t="s">
        <v>34</v>
      </c>
      <c r="I76" s="55" t="s">
        <v>231</v>
      </c>
      <c r="J76" s="55" t="s">
        <v>232</v>
      </c>
      <c r="K76" s="55" t="s">
        <v>215</v>
      </c>
    </row>
    <row r="77" spans="2:11" x14ac:dyDescent="0.25">
      <c r="C77" s="145" t="s">
        <v>228</v>
      </c>
      <c r="D77" s="145"/>
      <c r="E77" s="145"/>
      <c r="G77" s="4">
        <v>21</v>
      </c>
      <c r="H77" s="4" t="s">
        <v>215</v>
      </c>
      <c r="I77" s="4">
        <v>18000</v>
      </c>
      <c r="J77" s="4" t="s">
        <v>233</v>
      </c>
      <c r="K77" s="4">
        <f>MATCH(K76,H77:H79)</f>
        <v>1</v>
      </c>
    </row>
    <row r="78" spans="2:11" x14ac:dyDescent="0.25">
      <c r="C78" s="1" t="s">
        <v>217</v>
      </c>
      <c r="D78" s="1" t="s">
        <v>217</v>
      </c>
      <c r="E78" s="1" t="b">
        <f>EXACT(C78,D78)</f>
        <v>1</v>
      </c>
      <c r="G78" s="4">
        <v>25</v>
      </c>
      <c r="H78" s="4" t="s">
        <v>216</v>
      </c>
      <c r="I78" s="4">
        <v>21000</v>
      </c>
      <c r="J78" s="4" t="s">
        <v>234</v>
      </c>
      <c r="K78" s="4" t="str">
        <f>INDEX(H77:H79,K77)</f>
        <v>Abinesh</v>
      </c>
    </row>
    <row r="79" spans="2:11" x14ac:dyDescent="0.25">
      <c r="G79" s="4">
        <v>27</v>
      </c>
      <c r="H79" s="4" t="s">
        <v>217</v>
      </c>
      <c r="I79" s="4">
        <v>35000</v>
      </c>
      <c r="J79" s="56"/>
      <c r="K79" s="56"/>
    </row>
    <row r="91" spans="2:2" x14ac:dyDescent="0.25">
      <c r="B91" t="s">
        <v>114</v>
      </c>
    </row>
  </sheetData>
  <mergeCells count="15">
    <mergeCell ref="C77:E77"/>
    <mergeCell ref="G75:K75"/>
    <mergeCell ref="G53:H53"/>
    <mergeCell ref="C48:D48"/>
    <mergeCell ref="A13:D13"/>
    <mergeCell ref="B27:H27"/>
    <mergeCell ref="K35:L35"/>
    <mergeCell ref="C35:H35"/>
    <mergeCell ref="B35:B36"/>
    <mergeCell ref="B64:E64"/>
    <mergeCell ref="G64:J64"/>
    <mergeCell ref="G65:J65"/>
    <mergeCell ref="G70:I70"/>
    <mergeCell ref="G71:I71"/>
    <mergeCell ref="H66:I66"/>
  </mergeCells>
  <hyperlinks>
    <hyperlink ref="F29" r:id="rId2"/>
    <hyperlink ref="F30" r:id="rId3"/>
    <hyperlink ref="F31" r:id="rId4"/>
    <hyperlink ref="F32" r:id="rId5"/>
    <hyperlink ref="F33" r:id="rId6"/>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
  <sheetViews>
    <sheetView zoomScale="170" zoomScaleNormal="170" workbookViewId="0">
      <selection activeCell="C12" sqref="C12"/>
    </sheetView>
  </sheetViews>
  <sheetFormatPr defaultRowHeight="15" x14ac:dyDescent="0.25"/>
  <cols>
    <col min="1" max="1" width="17.85546875" bestFit="1" customWidth="1"/>
    <col min="2" max="2" width="25.140625" bestFit="1" customWidth="1"/>
    <col min="3" max="3" width="17" bestFit="1" customWidth="1"/>
    <col min="6" max="6" width="15.140625" bestFit="1" customWidth="1"/>
    <col min="7" max="7" width="14.85546875" bestFit="1" customWidth="1"/>
  </cols>
  <sheetData>
    <row r="1" spans="1:9" x14ac:dyDescent="0.25">
      <c r="A1" s="15" t="s">
        <v>238</v>
      </c>
      <c r="B1" s="15" t="s">
        <v>239</v>
      </c>
      <c r="C1" s="15" t="s">
        <v>263</v>
      </c>
    </row>
    <row r="2" spans="1:9" x14ac:dyDescent="0.25">
      <c r="A2" s="1" t="s">
        <v>240</v>
      </c>
      <c r="B2" s="1" t="s">
        <v>251</v>
      </c>
      <c r="C2" s="10">
        <f ca="1">TODAY()</f>
        <v>46042</v>
      </c>
      <c r="F2" s="1" t="s">
        <v>288</v>
      </c>
      <c r="G2" s="1">
        <f>DATEDIF("01-01-2020","10-03-2023","Y")</f>
        <v>3</v>
      </c>
      <c r="H2" s="1">
        <f>DATEDIF("01-01-2020","10-03-2023","M")</f>
        <v>45</v>
      </c>
      <c r="I2" s="1">
        <f>DATEDIF("01-01-2020","10-03-2023","D")</f>
        <v>1371</v>
      </c>
    </row>
    <row r="3" spans="1:9" x14ac:dyDescent="0.25">
      <c r="A3" s="1" t="s">
        <v>241</v>
      </c>
      <c r="B3" s="1" t="s">
        <v>252</v>
      </c>
      <c r="C3" s="11">
        <f ca="1">NOW()</f>
        <v>46042.647171296296</v>
      </c>
      <c r="F3" s="1" t="s">
        <v>287</v>
      </c>
      <c r="G3" s="10">
        <f>EDATE("1-1-2023",10)</f>
        <v>45231</v>
      </c>
    </row>
    <row r="4" spans="1:9" x14ac:dyDescent="0.25">
      <c r="A4" s="1" t="s">
        <v>250</v>
      </c>
      <c r="B4" s="1" t="s">
        <v>253</v>
      </c>
      <c r="C4" s="57">
        <f>DATE(2025,9,24)</f>
        <v>45924</v>
      </c>
    </row>
    <row r="5" spans="1:9" x14ac:dyDescent="0.25">
      <c r="A5" s="1" t="s">
        <v>242</v>
      </c>
      <c r="B5" s="1" t="s">
        <v>254</v>
      </c>
      <c r="C5" s="1">
        <f>DAY(C4)</f>
        <v>24</v>
      </c>
      <c r="D5" s="1">
        <f>MONTH(C4)</f>
        <v>9</v>
      </c>
      <c r="E5" s="1">
        <f>YEAR(C4)</f>
        <v>2025</v>
      </c>
      <c r="F5" s="51" t="s">
        <v>286</v>
      </c>
      <c r="G5" s="1">
        <f>NETWORKDAYS("01-jan-2023","15-jan-2023",{"02-jan-2023"})</f>
        <v>9</v>
      </c>
    </row>
    <row r="6" spans="1:9" x14ac:dyDescent="0.25">
      <c r="A6" s="1" t="s">
        <v>243</v>
      </c>
      <c r="B6" s="1" t="s">
        <v>255</v>
      </c>
      <c r="C6" s="58">
        <f>WEEKDAY(C4)</f>
        <v>4</v>
      </c>
      <c r="G6" s="10">
        <f>"01-Jan-2025"+10</f>
        <v>45668</v>
      </c>
    </row>
    <row r="7" spans="1:9" x14ac:dyDescent="0.25">
      <c r="A7" s="1" t="s">
        <v>244</v>
      </c>
      <c r="B7" s="1" t="s">
        <v>256</v>
      </c>
      <c r="C7" s="59" t="str">
        <f>TEXT(C4,"dddd")</f>
        <v>Wednesday</v>
      </c>
      <c r="G7" s="1">
        <f>"15-jan-2023"-"01-jan-2023"</f>
        <v>14</v>
      </c>
    </row>
    <row r="8" spans="1:9" x14ac:dyDescent="0.25">
      <c r="A8" s="1" t="s">
        <v>249</v>
      </c>
      <c r="B8" s="1" t="s">
        <v>257</v>
      </c>
      <c r="C8" s="10">
        <f>EDATE(C4,2)</f>
        <v>45985</v>
      </c>
      <c r="F8" s="1" t="s">
        <v>206</v>
      </c>
      <c r="G8" s="1" t="str">
        <f>IF("05-Jan-2023"&gt;"10-Jan-2023","Due Date Passed","Still time is Left")</f>
        <v>Still time is Left</v>
      </c>
    </row>
    <row r="9" spans="1:9" x14ac:dyDescent="0.25">
      <c r="A9" s="1" t="s">
        <v>245</v>
      </c>
      <c r="B9" s="1" t="s">
        <v>258</v>
      </c>
      <c r="C9" s="10">
        <f>EOMONTH(C4,1)</f>
        <v>45961</v>
      </c>
    </row>
    <row r="10" spans="1:9" x14ac:dyDescent="0.25">
      <c r="A10" s="1" t="s">
        <v>246</v>
      </c>
      <c r="B10" s="1" t="s">
        <v>259</v>
      </c>
      <c r="C10" s="1">
        <f>DATEDIF("01-01-2025","10-01-2028","D")</f>
        <v>1369</v>
      </c>
      <c r="D10" s="1">
        <f>DATEDIF("01-01-2025","10-01-2028","M")</f>
        <v>45</v>
      </c>
      <c r="E10" s="1">
        <f>DATEDIF("01-01-2025","10-01-2028","Y")</f>
        <v>3</v>
      </c>
    </row>
    <row r="11" spans="1:9" x14ac:dyDescent="0.25">
      <c r="A11" s="1" t="s">
        <v>247</v>
      </c>
      <c r="B11" s="1" t="s">
        <v>260</v>
      </c>
      <c r="C11" s="10">
        <f>WORKDAY(C4,5)</f>
        <v>45931</v>
      </c>
    </row>
    <row r="12" spans="1:9" x14ac:dyDescent="0.25">
      <c r="A12" s="1" t="s">
        <v>248</v>
      </c>
      <c r="B12" s="1" t="s">
        <v>261</v>
      </c>
      <c r="C12" s="60">
        <f>NETWORKDAYS("09-01-2025",C4)</f>
        <v>18</v>
      </c>
      <c r="E12" t="s">
        <v>262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topLeftCell="B1" zoomScale="170" zoomScaleNormal="170" workbookViewId="0">
      <selection activeCell="G10" sqref="G10"/>
    </sheetView>
  </sheetViews>
  <sheetFormatPr defaultRowHeight="15" x14ac:dyDescent="0.25"/>
  <cols>
    <col min="1" max="1" width="10.85546875" bestFit="1" customWidth="1"/>
    <col min="5" max="6" width="12.7109375" bestFit="1" customWidth="1"/>
    <col min="7" max="7" width="11.28515625" bestFit="1" customWidth="1"/>
    <col min="8" max="8" width="10" bestFit="1" customWidth="1"/>
  </cols>
  <sheetData>
    <row r="1" spans="1:15" x14ac:dyDescent="0.25">
      <c r="A1" s="159" t="s">
        <v>264</v>
      </c>
      <c r="B1" s="159"/>
      <c r="C1" s="159"/>
      <c r="D1" s="159"/>
      <c r="E1" s="159" t="s">
        <v>273</v>
      </c>
      <c r="F1" s="159"/>
      <c r="G1" s="159"/>
    </row>
    <row r="2" spans="1:15" x14ac:dyDescent="0.25">
      <c r="A2" s="62" t="s">
        <v>188</v>
      </c>
      <c r="B2" s="62" t="s">
        <v>136</v>
      </c>
      <c r="C2" s="62" t="s">
        <v>138</v>
      </c>
      <c r="D2" s="62" t="s">
        <v>137</v>
      </c>
      <c r="E2" s="62" t="s">
        <v>269</v>
      </c>
      <c r="F2" s="62" t="s">
        <v>270</v>
      </c>
      <c r="G2" s="62" t="s">
        <v>271</v>
      </c>
    </row>
    <row r="3" spans="1:15" x14ac:dyDescent="0.25">
      <c r="A3" s="1" t="s">
        <v>265</v>
      </c>
      <c r="B3" s="1">
        <v>55</v>
      </c>
      <c r="C3" s="1">
        <v>65</v>
      </c>
      <c r="D3" s="1">
        <v>72</v>
      </c>
      <c r="E3" s="33">
        <v>100000</v>
      </c>
      <c r="F3" s="33">
        <v>0.1</v>
      </c>
      <c r="G3" s="33">
        <v>5</v>
      </c>
    </row>
    <row r="4" spans="1:15" x14ac:dyDescent="0.25">
      <c r="A4" s="1" t="s">
        <v>266</v>
      </c>
      <c r="B4" s="1">
        <v>35</v>
      </c>
      <c r="C4" s="1">
        <v>42</v>
      </c>
      <c r="D4" s="1">
        <v>38</v>
      </c>
      <c r="E4" s="1"/>
      <c r="F4" s="1"/>
      <c r="G4" s="1"/>
    </row>
    <row r="5" spans="1:15" x14ac:dyDescent="0.25">
      <c r="A5" s="1" t="s">
        <v>267</v>
      </c>
      <c r="B5" s="1">
        <v>70</v>
      </c>
      <c r="C5" s="1">
        <v>80</v>
      </c>
      <c r="D5" s="1">
        <v>68</v>
      </c>
      <c r="E5" s="1" t="s">
        <v>272</v>
      </c>
      <c r="F5" s="1" t="s">
        <v>270</v>
      </c>
      <c r="G5" s="1" t="s">
        <v>271</v>
      </c>
    </row>
    <row r="6" spans="1:15" x14ac:dyDescent="0.25">
      <c r="A6" s="1" t="s">
        <v>268</v>
      </c>
      <c r="B6" s="1">
        <v>45</v>
      </c>
      <c r="C6" s="1">
        <v>39</v>
      </c>
      <c r="D6" s="1">
        <v>50</v>
      </c>
      <c r="E6" s="33">
        <v>5000</v>
      </c>
      <c r="F6" s="33">
        <v>0.08</v>
      </c>
      <c r="G6" s="33">
        <v>3</v>
      </c>
    </row>
    <row r="7" spans="1:15" x14ac:dyDescent="0.25">
      <c r="D7" s="1">
        <f>COUNTIFS(D3:D6,"&gt;40")</f>
        <v>3</v>
      </c>
      <c r="L7" s="160" t="s">
        <v>317</v>
      </c>
      <c r="M7" s="160"/>
      <c r="N7" s="160"/>
    </row>
    <row r="8" spans="1:15" x14ac:dyDescent="0.25">
      <c r="A8" s="159" t="s">
        <v>274</v>
      </c>
      <c r="B8" s="159"/>
      <c r="C8" s="1" t="str">
        <f>IF(B6&gt;40,"PASS","FAIL")</f>
        <v>PASS</v>
      </c>
      <c r="F8" s="160" t="s">
        <v>314</v>
      </c>
      <c r="G8" s="160"/>
      <c r="H8" s="160"/>
      <c r="I8" t="s">
        <v>315</v>
      </c>
      <c r="J8">
        <f>TYPE(I8)</f>
        <v>2</v>
      </c>
      <c r="L8" s="1">
        <v>1</v>
      </c>
      <c r="M8" s="1">
        <v>10</v>
      </c>
      <c r="N8" s="1">
        <f>CONVERT(L8,"kg","g")</f>
        <v>1000</v>
      </c>
    </row>
    <row r="9" spans="1:15" x14ac:dyDescent="0.25">
      <c r="A9" s="63" t="s">
        <v>207</v>
      </c>
      <c r="B9" s="64"/>
      <c r="F9" s="1" t="s">
        <v>310</v>
      </c>
      <c r="G9" s="1">
        <v>9</v>
      </c>
      <c r="H9" s="1" t="str">
        <f>REPT("*",G9)</f>
        <v>*********</v>
      </c>
      <c r="L9" s="1">
        <v>15</v>
      </c>
      <c r="M9" s="1">
        <v>15</v>
      </c>
      <c r="N9" s="1">
        <f>CONVERT(L9,"kg","g")</f>
        <v>15000</v>
      </c>
    </row>
    <row r="10" spans="1:15" x14ac:dyDescent="0.25">
      <c r="A10" s="63" t="s">
        <v>113</v>
      </c>
      <c r="B10" s="64">
        <f>COUNTIF(B3:D6,"&gt;40")</f>
        <v>9</v>
      </c>
      <c r="F10" s="1" t="s">
        <v>311</v>
      </c>
      <c r="G10" s="1">
        <v>7</v>
      </c>
      <c r="H10" s="1" t="str">
        <f t="shared" ref="H10:H12" si="0">REPT("*",G10)</f>
        <v>*******</v>
      </c>
      <c r="J10">
        <f ca="1">RANDBETWEEN(1,47)</f>
        <v>20</v>
      </c>
    </row>
    <row r="11" spans="1:15" x14ac:dyDescent="0.25">
      <c r="A11" s="63" t="s">
        <v>208</v>
      </c>
      <c r="B11" s="64">
        <f>COUNTIFS(B3:B6,"&gt;45")</f>
        <v>2</v>
      </c>
      <c r="C11" s="1">
        <f>COUNTIFS(C3:C6,"&lt;40")</f>
        <v>1</v>
      </c>
      <c r="F11" s="1" t="s">
        <v>312</v>
      </c>
      <c r="G11" s="1">
        <v>5</v>
      </c>
      <c r="H11" s="1" t="str">
        <f t="shared" si="0"/>
        <v>*****</v>
      </c>
      <c r="L11" s="156" t="s">
        <v>316</v>
      </c>
      <c r="M11" s="157"/>
      <c r="N11" s="158"/>
    </row>
    <row r="12" spans="1:15" x14ac:dyDescent="0.25">
      <c r="A12" s="63" t="s">
        <v>275</v>
      </c>
      <c r="B12" s="64">
        <f>AVERAGEIF(B3:D3,"&gt;40")</f>
        <v>64</v>
      </c>
      <c r="F12" s="1" t="s">
        <v>313</v>
      </c>
      <c r="G12" s="1">
        <v>6</v>
      </c>
      <c r="H12" s="1" t="str">
        <f t="shared" si="0"/>
        <v>******</v>
      </c>
      <c r="L12" s="1">
        <v>12</v>
      </c>
      <c r="M12" s="1">
        <v>1</v>
      </c>
      <c r="N12" s="1">
        <f>L12/M12</f>
        <v>12</v>
      </c>
    </row>
    <row r="13" spans="1:15" x14ac:dyDescent="0.25">
      <c r="A13" s="63" t="s">
        <v>209</v>
      </c>
      <c r="B13" s="64">
        <f>AVERAGEIFS(B3:D3,B3:D3,"&gt;60")</f>
        <v>68.5</v>
      </c>
      <c r="L13" s="1">
        <v>15</v>
      </c>
      <c r="M13" s="1">
        <v>2</v>
      </c>
      <c r="N13" s="1">
        <f t="shared" ref="N13:N14" si="1">L13/M13</f>
        <v>7.5</v>
      </c>
    </row>
    <row r="14" spans="1:15" x14ac:dyDescent="0.25">
      <c r="A14" s="63" t="s">
        <v>152</v>
      </c>
      <c r="B14" s="64" t="b">
        <f>AND(B3,C3)</f>
        <v>1</v>
      </c>
      <c r="L14" s="1">
        <v>45</v>
      </c>
      <c r="M14" s="1">
        <v>0</v>
      </c>
      <c r="N14" s="1" t="e">
        <f t="shared" si="1"/>
        <v>#DIV/0!</v>
      </c>
      <c r="O14" s="1">
        <f>IFERROR(M14,0)</f>
        <v>0</v>
      </c>
    </row>
    <row r="15" spans="1:15" x14ac:dyDescent="0.25">
      <c r="A15" s="63" t="s">
        <v>153</v>
      </c>
      <c r="B15" s="64" t="b">
        <f>OR(B4,C4)</f>
        <v>1</v>
      </c>
    </row>
  </sheetData>
  <mergeCells count="6">
    <mergeCell ref="L11:N11"/>
    <mergeCell ref="A1:D1"/>
    <mergeCell ref="E1:G1"/>
    <mergeCell ref="A8:B8"/>
    <mergeCell ref="F8:H8"/>
    <mergeCell ref="L7:N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topLeftCell="A19" zoomScale="170" zoomScaleNormal="170" workbookViewId="0">
      <selection activeCell="H9" sqref="H9"/>
    </sheetView>
  </sheetViews>
  <sheetFormatPr defaultRowHeight="15" x14ac:dyDescent="0.25"/>
  <cols>
    <col min="6" max="6" width="11.7109375" bestFit="1" customWidth="1"/>
    <col min="8" max="8" width="11.28515625" bestFit="1" customWidth="1"/>
    <col min="9" max="9" width="10.7109375" bestFit="1" customWidth="1"/>
    <col min="10" max="10" width="16.28515625" customWidth="1"/>
    <col min="11" max="11" width="12" customWidth="1"/>
    <col min="12" max="12" width="15.140625" bestFit="1" customWidth="1"/>
    <col min="13" max="13" width="27.140625" bestFit="1" customWidth="1"/>
    <col min="14" max="14" width="10.5703125" bestFit="1" customWidth="1"/>
    <col min="15" max="15" width="11.140625" bestFit="1" customWidth="1"/>
  </cols>
  <sheetData>
    <row r="1" spans="2:16" x14ac:dyDescent="0.25">
      <c r="B1" s="148" t="s">
        <v>172</v>
      </c>
      <c r="C1" s="148"/>
      <c r="D1" s="148"/>
      <c r="E1" s="52" t="s">
        <v>165</v>
      </c>
      <c r="F1" s="52" t="s">
        <v>174</v>
      </c>
      <c r="G1" s="52" t="s">
        <v>175</v>
      </c>
      <c r="H1" s="52" t="s">
        <v>176</v>
      </c>
      <c r="I1" s="52" t="s">
        <v>177</v>
      </c>
      <c r="J1" s="52" t="s">
        <v>178</v>
      </c>
      <c r="K1" s="52" t="s">
        <v>179</v>
      </c>
      <c r="L1" s="52" t="s">
        <v>180</v>
      </c>
      <c r="M1" s="52" t="s">
        <v>181</v>
      </c>
      <c r="N1" s="52" t="s">
        <v>182</v>
      </c>
      <c r="O1" s="53" t="s">
        <v>183</v>
      </c>
      <c r="P1" s="53" t="s">
        <v>184</v>
      </c>
    </row>
    <row r="2" spans="2:16" x14ac:dyDescent="0.25">
      <c r="B2" s="1" t="s">
        <v>165</v>
      </c>
      <c r="C2" s="1" t="s">
        <v>166</v>
      </c>
      <c r="D2" s="1" t="s">
        <v>167</v>
      </c>
      <c r="E2" s="50" t="s">
        <v>173</v>
      </c>
      <c r="F2" s="33" t="s">
        <v>173</v>
      </c>
      <c r="G2" s="33" t="s">
        <v>173</v>
      </c>
      <c r="H2" s="33"/>
      <c r="I2" s="33"/>
      <c r="J2" s="33"/>
      <c r="K2" s="33"/>
      <c r="L2" s="33">
        <f>COUNT(C3:C6)</f>
        <v>4</v>
      </c>
      <c r="M2" s="1">
        <f>COUNTA(B2:C6)</f>
        <v>10</v>
      </c>
      <c r="N2" s="1">
        <f>COUNTIF(D3:D6,"&gt;500")</f>
        <v>3</v>
      </c>
      <c r="O2" s="51">
        <f>COUNTBLANK(C3:C6)</f>
        <v>0</v>
      </c>
      <c r="P2" s="1">
        <f>C3^2</f>
        <v>25</v>
      </c>
    </row>
    <row r="3" spans="2:16" x14ac:dyDescent="0.25">
      <c r="B3" s="1" t="s">
        <v>168</v>
      </c>
      <c r="C3" s="1">
        <v>5</v>
      </c>
      <c r="D3" s="1">
        <v>50000</v>
      </c>
      <c r="E3" s="51">
        <f>PRODUCT(C3*D3)</f>
        <v>250000</v>
      </c>
      <c r="F3" s="1">
        <f>SUMPRODUCT(C3,D3)</f>
        <v>250000</v>
      </c>
      <c r="G3" s="1">
        <f>QUOTIENT(D3,C3)</f>
        <v>10000</v>
      </c>
      <c r="H3" s="1">
        <f>SQRT(E3)</f>
        <v>500</v>
      </c>
      <c r="I3" s="1">
        <f>MOD(C3,D3)</f>
        <v>5</v>
      </c>
      <c r="J3" s="1">
        <f>MAX(C3:C6)</f>
        <v>20</v>
      </c>
      <c r="K3" s="1">
        <f>MIN(C3:C6)</f>
        <v>5</v>
      </c>
      <c r="O3" s="5"/>
      <c r="P3" s="1">
        <f t="shared" ref="P3:P5" si="0">C4^2</f>
        <v>400</v>
      </c>
    </row>
    <row r="4" spans="2:16" x14ac:dyDescent="0.25">
      <c r="B4" s="1" t="s">
        <v>169</v>
      </c>
      <c r="C4" s="1">
        <v>20</v>
      </c>
      <c r="D4" s="1">
        <v>500</v>
      </c>
      <c r="E4" s="51">
        <f t="shared" ref="E4:E6" si="1">PRODUCT(C4*D4)</f>
        <v>10000</v>
      </c>
      <c r="F4" s="1">
        <f t="shared" ref="F4:F6" si="2">SUMPRODUCT(C4,D4)</f>
        <v>10000</v>
      </c>
      <c r="G4" s="1">
        <f t="shared" ref="G4:G6" si="3">QUOTIENT(D4,C4)</f>
        <v>25</v>
      </c>
      <c r="H4" s="1">
        <f t="shared" ref="H4:H6" si="4">SQRT(E4)</f>
        <v>100</v>
      </c>
      <c r="I4" s="1">
        <f t="shared" ref="I4:I6" si="5">MOD(C4,D4)</f>
        <v>20</v>
      </c>
      <c r="O4" s="5"/>
      <c r="P4" s="1">
        <f t="shared" si="0"/>
        <v>225</v>
      </c>
    </row>
    <row r="5" spans="2:16" x14ac:dyDescent="0.25">
      <c r="B5" s="1" t="s">
        <v>170</v>
      </c>
      <c r="C5" s="1">
        <v>15</v>
      </c>
      <c r="D5" s="1">
        <v>1200</v>
      </c>
      <c r="E5" s="51">
        <f t="shared" si="1"/>
        <v>18000</v>
      </c>
      <c r="F5" s="1">
        <f t="shared" si="2"/>
        <v>18000</v>
      </c>
      <c r="G5" s="1">
        <f t="shared" si="3"/>
        <v>80</v>
      </c>
      <c r="H5" s="1">
        <f t="shared" si="4"/>
        <v>134.16407864998737</v>
      </c>
      <c r="I5" s="1">
        <f t="shared" si="5"/>
        <v>15</v>
      </c>
      <c r="O5" s="5"/>
      <c r="P5" s="1">
        <f t="shared" si="0"/>
        <v>49</v>
      </c>
    </row>
    <row r="6" spans="2:16" x14ac:dyDescent="0.25">
      <c r="B6" s="1" t="s">
        <v>171</v>
      </c>
      <c r="C6" s="1">
        <v>7</v>
      </c>
      <c r="D6" s="1">
        <v>8000</v>
      </c>
      <c r="E6" s="51">
        <f t="shared" si="1"/>
        <v>56000</v>
      </c>
      <c r="F6" s="1">
        <f t="shared" si="2"/>
        <v>56000</v>
      </c>
      <c r="G6" s="1">
        <f t="shared" si="3"/>
        <v>1142</v>
      </c>
      <c r="H6" s="1">
        <f t="shared" si="4"/>
        <v>236.64319132398464</v>
      </c>
      <c r="I6" s="1">
        <f t="shared" si="5"/>
        <v>7</v>
      </c>
    </row>
    <row r="7" spans="2:16" x14ac:dyDescent="0.25">
      <c r="F7" s="1">
        <f>SUMPRODUCT(F3:F6)</f>
        <v>334000</v>
      </c>
    </row>
    <row r="9" spans="2:16" x14ac:dyDescent="0.25">
      <c r="B9" s="52" t="s">
        <v>188</v>
      </c>
      <c r="C9" s="52" t="s">
        <v>189</v>
      </c>
      <c r="D9" s="52" t="s">
        <v>190</v>
      </c>
      <c r="E9" s="52" t="s">
        <v>191</v>
      </c>
      <c r="F9" s="52" t="s">
        <v>207</v>
      </c>
      <c r="G9" s="1"/>
      <c r="I9" s="148" t="s">
        <v>289</v>
      </c>
      <c r="J9" s="148"/>
      <c r="L9" s="148" t="s">
        <v>291</v>
      </c>
      <c r="M9" s="148"/>
      <c r="N9" s="148"/>
    </row>
    <row r="10" spans="2:16" x14ac:dyDescent="0.25">
      <c r="B10" s="1" t="s">
        <v>192</v>
      </c>
      <c r="C10" s="1" t="s">
        <v>136</v>
      </c>
      <c r="D10" s="1">
        <v>75</v>
      </c>
      <c r="E10" s="1" t="s">
        <v>203</v>
      </c>
      <c r="F10" s="52" t="s">
        <v>206</v>
      </c>
      <c r="G10" s="4"/>
      <c r="I10" s="1" t="s">
        <v>290</v>
      </c>
      <c r="J10" s="75">
        <f>PMT(10%/12,5*12,100000)</f>
        <v>-2124.7044711268277</v>
      </c>
      <c r="L10" s="15" t="s">
        <v>210</v>
      </c>
      <c r="M10" s="15" t="s">
        <v>292</v>
      </c>
      <c r="N10" s="15" t="s">
        <v>293</v>
      </c>
    </row>
    <row r="11" spans="2:16" x14ac:dyDescent="0.25">
      <c r="B11" s="1" t="s">
        <v>193</v>
      </c>
      <c r="C11" s="1" t="s">
        <v>138</v>
      </c>
      <c r="D11" s="1">
        <v>78</v>
      </c>
      <c r="E11" s="1" t="s">
        <v>203</v>
      </c>
      <c r="F11" s="52" t="s">
        <v>113</v>
      </c>
      <c r="G11" s="4">
        <f>COUNTIF(D10:D18,"&gt;50")</f>
        <v>9</v>
      </c>
      <c r="I11" s="1" t="s">
        <v>101</v>
      </c>
      <c r="J11" s="76">
        <f>RATE(12*5,J10,100000)</f>
        <v>8.3333333333337287E-3</v>
      </c>
      <c r="L11" s="1" t="s">
        <v>265</v>
      </c>
      <c r="M11" s="77">
        <v>43831</v>
      </c>
      <c r="N11" s="77">
        <v>45000</v>
      </c>
    </row>
    <row r="12" spans="2:16" x14ac:dyDescent="0.25">
      <c r="B12" s="1" t="s">
        <v>194</v>
      </c>
      <c r="C12" s="1" t="s">
        <v>137</v>
      </c>
      <c r="D12" s="1">
        <v>85</v>
      </c>
      <c r="E12" s="1" t="s">
        <v>204</v>
      </c>
      <c r="F12" s="52" t="s">
        <v>208</v>
      </c>
      <c r="G12" s="4">
        <f>COUNTIFS(E10:E13,"10A",D10:D13,"&gt;=40")</f>
        <v>2</v>
      </c>
      <c r="I12" s="1" t="s">
        <v>100</v>
      </c>
      <c r="J12" s="1">
        <f>NPER(10%/12,J10,100000)</f>
        <v>60.000000000000227</v>
      </c>
      <c r="L12" s="1" t="s">
        <v>266</v>
      </c>
      <c r="M12" s="77">
        <v>44237</v>
      </c>
      <c r="N12" s="77">
        <v>45280</v>
      </c>
    </row>
    <row r="13" spans="2:16" x14ac:dyDescent="0.25">
      <c r="B13" s="1" t="s">
        <v>195</v>
      </c>
      <c r="C13" s="1" t="s">
        <v>201</v>
      </c>
      <c r="D13" s="1">
        <v>65</v>
      </c>
      <c r="E13" s="1" t="s">
        <v>204</v>
      </c>
      <c r="F13" s="52" t="s">
        <v>209</v>
      </c>
      <c r="G13" s="4">
        <f>AVERAGEIFS(D10:D15,D10:D15,"&gt;=65")</f>
        <v>74.400000000000006</v>
      </c>
      <c r="I13" s="1" t="s">
        <v>98</v>
      </c>
      <c r="J13" s="75">
        <f>FV(10%/12,5*12,J10)</f>
        <v>164530.89347785793</v>
      </c>
      <c r="L13" s="1" t="s">
        <v>267</v>
      </c>
      <c r="M13" s="77">
        <v>44686</v>
      </c>
      <c r="N13" s="77">
        <v>45179</v>
      </c>
      <c r="O13" s="78"/>
    </row>
    <row r="14" spans="2:16" x14ac:dyDescent="0.25">
      <c r="B14" s="1" t="s">
        <v>196</v>
      </c>
      <c r="C14" s="1" t="s">
        <v>202</v>
      </c>
      <c r="D14" s="1">
        <v>63</v>
      </c>
      <c r="E14" s="1" t="s">
        <v>205</v>
      </c>
      <c r="I14" s="1" t="s">
        <v>99</v>
      </c>
      <c r="J14" s="75">
        <f>PV(8%/12,5*12,10000)</f>
        <v>-493184.33335625764</v>
      </c>
    </row>
    <row r="15" spans="2:16" x14ac:dyDescent="0.25">
      <c r="B15" s="1" t="s">
        <v>197</v>
      </c>
      <c r="C15" s="1" t="s">
        <v>137</v>
      </c>
      <c r="D15" s="1">
        <v>69</v>
      </c>
      <c r="E15" s="1" t="s">
        <v>205</v>
      </c>
      <c r="I15" s="33" t="s">
        <v>98</v>
      </c>
      <c r="J15" s="75">
        <f>FV(1%/12,3*12,5000)</f>
        <v>-182649.96302230595</v>
      </c>
      <c r="L15" s="81" t="s">
        <v>288</v>
      </c>
      <c r="M15" s="1">
        <f>DATEDIF(M11,N11,"Y")</f>
        <v>3</v>
      </c>
    </row>
    <row r="16" spans="2:16" x14ac:dyDescent="0.25">
      <c r="B16" s="1" t="s">
        <v>198</v>
      </c>
      <c r="C16" s="1" t="s">
        <v>201</v>
      </c>
      <c r="D16" s="1">
        <v>84</v>
      </c>
      <c r="E16" s="1" t="s">
        <v>203</v>
      </c>
      <c r="L16" s="81" t="s">
        <v>294</v>
      </c>
      <c r="M16" s="79">
        <f>WORKDAY(M12,30)</f>
        <v>44279</v>
      </c>
    </row>
    <row r="17" spans="2:13" x14ac:dyDescent="0.25">
      <c r="B17" s="1" t="s">
        <v>199</v>
      </c>
      <c r="C17" s="1" t="s">
        <v>202</v>
      </c>
      <c r="D17" s="1">
        <v>82</v>
      </c>
      <c r="E17" s="1" t="s">
        <v>204</v>
      </c>
      <c r="L17" s="81" t="s">
        <v>286</v>
      </c>
      <c r="M17" s="60">
        <f>NETWORKDAYS(M11,N11)</f>
        <v>836</v>
      </c>
    </row>
    <row r="18" spans="2:13" x14ac:dyDescent="0.25">
      <c r="B18" s="1" t="s">
        <v>200</v>
      </c>
      <c r="C18" s="1" t="s">
        <v>138</v>
      </c>
      <c r="D18" s="1">
        <v>89</v>
      </c>
      <c r="E18" s="1" t="s">
        <v>205</v>
      </c>
      <c r="L18" s="81" t="s">
        <v>206</v>
      </c>
      <c r="M18" s="80" t="str">
        <f>IF(DATEDIF(M11,N11,"Y")&gt;2,"YES","NO")</f>
        <v>YES</v>
      </c>
    </row>
    <row r="19" spans="2:13" x14ac:dyDescent="0.25">
      <c r="B19" s="5"/>
      <c r="C19" s="5"/>
      <c r="D19" s="5"/>
      <c r="E19" s="5"/>
      <c r="G19" s="84" t="s">
        <v>301</v>
      </c>
      <c r="H19" s="85" t="s">
        <v>283</v>
      </c>
    </row>
    <row r="20" spans="2:13" x14ac:dyDescent="0.25">
      <c r="B20" s="148" t="s">
        <v>299</v>
      </c>
      <c r="C20" s="148"/>
      <c r="D20" s="148"/>
      <c r="E20" s="5"/>
      <c r="G20" s="82" t="s">
        <v>211</v>
      </c>
      <c r="H20" s="83" t="s">
        <v>302</v>
      </c>
    </row>
    <row r="21" spans="2:13" x14ac:dyDescent="0.25">
      <c r="B21" s="15" t="s">
        <v>69</v>
      </c>
      <c r="C21" s="15" t="s">
        <v>295</v>
      </c>
      <c r="D21" s="15" t="s">
        <v>70</v>
      </c>
      <c r="E21" s="5"/>
      <c r="G21" s="66" t="s">
        <v>221</v>
      </c>
      <c r="H21" s="51">
        <v>120000</v>
      </c>
    </row>
    <row r="22" spans="2:13" x14ac:dyDescent="0.25">
      <c r="B22" s="1" t="s">
        <v>265</v>
      </c>
      <c r="C22" s="1" t="s">
        <v>296</v>
      </c>
      <c r="D22" s="1">
        <v>45000</v>
      </c>
      <c r="E22" s="5"/>
      <c r="G22" s="66" t="s">
        <v>220</v>
      </c>
      <c r="H22" s="51">
        <v>95000</v>
      </c>
    </row>
    <row r="23" spans="2:13" x14ac:dyDescent="0.25">
      <c r="B23" s="1" t="s">
        <v>300</v>
      </c>
      <c r="C23" s="1" t="s">
        <v>297</v>
      </c>
      <c r="D23" s="1">
        <v>60000</v>
      </c>
      <c r="G23" s="66" t="s">
        <v>218</v>
      </c>
      <c r="H23" s="51">
        <v>135000</v>
      </c>
    </row>
    <row r="24" spans="2:13" x14ac:dyDescent="0.25">
      <c r="B24" s="1" t="s">
        <v>267</v>
      </c>
      <c r="C24" s="1" t="s">
        <v>298</v>
      </c>
      <c r="D24" s="1">
        <v>55000</v>
      </c>
      <c r="G24" s="69" t="s">
        <v>219</v>
      </c>
      <c r="H24" s="71">
        <v>110000</v>
      </c>
    </row>
    <row r="26" spans="2:13" x14ac:dyDescent="0.25">
      <c r="B26" s="161" t="s">
        <v>303</v>
      </c>
      <c r="C26" s="161"/>
      <c r="D26" s="161"/>
      <c r="E26" s="161"/>
    </row>
    <row r="27" spans="2:13" x14ac:dyDescent="0.25">
      <c r="B27" s="86" t="s">
        <v>304</v>
      </c>
      <c r="C27" s="15" t="s">
        <v>69</v>
      </c>
      <c r="D27" s="15" t="s">
        <v>295</v>
      </c>
      <c r="E27" s="15" t="s">
        <v>70</v>
      </c>
      <c r="F27" s="94" t="s">
        <v>306</v>
      </c>
      <c r="G27" s="1">
        <f>LOOKUP(B30,B28:E31)</f>
        <v>55000</v>
      </c>
    </row>
    <row r="28" spans="2:13" x14ac:dyDescent="0.25">
      <c r="B28" s="4">
        <v>101</v>
      </c>
      <c r="C28" s="1" t="s">
        <v>265</v>
      </c>
      <c r="D28" s="1" t="s">
        <v>296</v>
      </c>
      <c r="E28" s="51">
        <v>45000</v>
      </c>
      <c r="F28" s="94" t="s">
        <v>124</v>
      </c>
      <c r="G28" s="59" t="str">
        <f>VLOOKUP(B29,B28:E31,3,0)</f>
        <v>IT</v>
      </c>
    </row>
    <row r="29" spans="2:13" x14ac:dyDescent="0.25">
      <c r="B29" s="4">
        <v>102</v>
      </c>
      <c r="C29" s="1" t="s">
        <v>266</v>
      </c>
      <c r="D29" s="1" t="s">
        <v>297</v>
      </c>
      <c r="E29" s="51">
        <v>60000</v>
      </c>
      <c r="F29" s="94" t="s">
        <v>123</v>
      </c>
      <c r="G29" s="1" t="str">
        <f>HLOOKUP(C28,B28:E31,4,0)</f>
        <v>Sneha</v>
      </c>
    </row>
    <row r="30" spans="2:13" x14ac:dyDescent="0.25">
      <c r="B30" s="4">
        <v>103</v>
      </c>
      <c r="C30" s="1" t="s">
        <v>267</v>
      </c>
      <c r="D30" s="1" t="s">
        <v>298</v>
      </c>
      <c r="E30" s="51">
        <v>55000</v>
      </c>
      <c r="F30" s="94" t="s">
        <v>234</v>
      </c>
    </row>
    <row r="31" spans="2:13" x14ac:dyDescent="0.25">
      <c r="B31" s="4">
        <v>104</v>
      </c>
      <c r="C31" s="33" t="s">
        <v>268</v>
      </c>
      <c r="D31" s="33" t="s">
        <v>297</v>
      </c>
      <c r="E31" s="50">
        <v>50000</v>
      </c>
      <c r="F31" s="94" t="s">
        <v>233</v>
      </c>
    </row>
    <row r="33" spans="1:5" x14ac:dyDescent="0.25">
      <c r="B33" s="161" t="s">
        <v>305</v>
      </c>
      <c r="C33" s="161"/>
      <c r="D33" s="161"/>
      <c r="E33" s="161"/>
    </row>
    <row r="34" spans="1:5" x14ac:dyDescent="0.25">
      <c r="B34" s="15" t="s">
        <v>188</v>
      </c>
      <c r="C34" s="61" t="s">
        <v>46</v>
      </c>
      <c r="D34" s="61" t="s">
        <v>47</v>
      </c>
      <c r="E34" s="61" t="s">
        <v>48</v>
      </c>
    </row>
    <row r="35" spans="1:5" x14ac:dyDescent="0.25">
      <c r="B35" s="1" t="s">
        <v>265</v>
      </c>
      <c r="C35" s="4">
        <v>55</v>
      </c>
      <c r="D35" s="4">
        <v>65</v>
      </c>
      <c r="E35" s="4">
        <v>72</v>
      </c>
    </row>
    <row r="36" spans="1:5" x14ac:dyDescent="0.25">
      <c r="B36" s="1" t="s">
        <v>266</v>
      </c>
      <c r="C36" s="4">
        <v>35</v>
      </c>
      <c r="D36" s="4">
        <v>42</v>
      </c>
      <c r="E36" s="4">
        <v>38</v>
      </c>
    </row>
    <row r="37" spans="1:5" x14ac:dyDescent="0.25">
      <c r="B37" s="1" t="s">
        <v>267</v>
      </c>
      <c r="C37" s="4">
        <v>70</v>
      </c>
      <c r="D37" s="4">
        <v>80</v>
      </c>
      <c r="E37" s="4">
        <v>68</v>
      </c>
    </row>
    <row r="38" spans="1:5" x14ac:dyDescent="0.25">
      <c r="B38" s="33" t="s">
        <v>268</v>
      </c>
      <c r="C38" s="4">
        <v>45</v>
      </c>
      <c r="D38" s="4">
        <v>39</v>
      </c>
      <c r="E38" s="4">
        <v>50</v>
      </c>
    </row>
    <row r="42" spans="1:5" x14ac:dyDescent="0.25">
      <c r="A42" s="19" t="s">
        <v>125</v>
      </c>
      <c r="B42" s="15" t="s">
        <v>188</v>
      </c>
      <c r="C42" s="93" t="s">
        <v>46</v>
      </c>
      <c r="D42" s="93" t="s">
        <v>47</v>
      </c>
      <c r="E42" s="93" t="s">
        <v>48</v>
      </c>
    </row>
    <row r="43" spans="1:5" x14ac:dyDescent="0.25">
      <c r="A43" s="4">
        <v>101</v>
      </c>
      <c r="B43" s="4" t="s">
        <v>265</v>
      </c>
      <c r="C43" s="4">
        <v>55</v>
      </c>
      <c r="D43" s="4">
        <v>65</v>
      </c>
      <c r="E43" s="4">
        <v>72</v>
      </c>
    </row>
    <row r="44" spans="1:5" x14ac:dyDescent="0.25">
      <c r="A44" s="4">
        <v>102</v>
      </c>
      <c r="B44" s="4" t="s">
        <v>266</v>
      </c>
      <c r="C44" s="4">
        <v>35</v>
      </c>
      <c r="D44" s="4">
        <v>42</v>
      </c>
      <c r="E44" s="4">
        <v>38</v>
      </c>
    </row>
    <row r="45" spans="1:5" x14ac:dyDescent="0.25">
      <c r="A45" s="4">
        <v>103</v>
      </c>
      <c r="B45" s="4" t="s">
        <v>267</v>
      </c>
      <c r="C45" s="4">
        <v>70</v>
      </c>
      <c r="D45" s="4">
        <v>80</v>
      </c>
      <c r="E45" s="4">
        <v>68</v>
      </c>
    </row>
    <row r="46" spans="1:5" x14ac:dyDescent="0.25">
      <c r="A46" s="4">
        <v>104</v>
      </c>
      <c r="B46" s="16" t="s">
        <v>268</v>
      </c>
      <c r="C46" s="4">
        <v>45</v>
      </c>
      <c r="D46" s="4">
        <v>39</v>
      </c>
      <c r="E46" s="4">
        <v>50</v>
      </c>
    </row>
    <row r="47" spans="1:5" x14ac:dyDescent="0.25">
      <c r="A47" s="4">
        <v>105</v>
      </c>
      <c r="B47" s="4" t="s">
        <v>349</v>
      </c>
      <c r="C47" s="4">
        <v>69</v>
      </c>
      <c r="D47" s="4">
        <v>75</v>
      </c>
      <c r="E47" s="4">
        <v>70</v>
      </c>
    </row>
    <row r="48" spans="1:5" x14ac:dyDescent="0.25">
      <c r="A48" s="4">
        <v>106</v>
      </c>
      <c r="B48" s="4" t="s">
        <v>350</v>
      </c>
      <c r="C48" s="4">
        <v>77</v>
      </c>
      <c r="D48" s="4">
        <v>74</v>
      </c>
      <c r="E48" s="96">
        <v>75</v>
      </c>
    </row>
    <row r="49" spans="1:5" x14ac:dyDescent="0.25">
      <c r="A49" s="4">
        <v>107</v>
      </c>
      <c r="B49" s="4" t="s">
        <v>351</v>
      </c>
      <c r="C49" s="4">
        <v>73</v>
      </c>
      <c r="D49" s="4">
        <v>84</v>
      </c>
      <c r="E49" s="4">
        <v>80</v>
      </c>
    </row>
    <row r="50" spans="1:5" x14ac:dyDescent="0.25">
      <c r="A50" s="4">
        <v>108</v>
      </c>
      <c r="B50" s="4" t="s">
        <v>352</v>
      </c>
      <c r="C50" s="4">
        <v>70</v>
      </c>
      <c r="D50" s="4">
        <v>71</v>
      </c>
      <c r="E50" s="4">
        <v>79</v>
      </c>
    </row>
    <row r="51" spans="1:5" x14ac:dyDescent="0.25">
      <c r="A51" s="4">
        <v>109</v>
      </c>
      <c r="B51" s="4" t="s">
        <v>353</v>
      </c>
      <c r="C51" s="4">
        <v>79</v>
      </c>
      <c r="D51" s="4">
        <v>69</v>
      </c>
      <c r="E51" s="4">
        <v>72</v>
      </c>
    </row>
    <row r="52" spans="1:5" x14ac:dyDescent="0.25">
      <c r="A52" s="4">
        <v>110</v>
      </c>
      <c r="B52" s="95" t="s">
        <v>354</v>
      </c>
      <c r="C52" s="4">
        <v>71</v>
      </c>
      <c r="D52" s="4">
        <v>80</v>
      </c>
      <c r="E52" s="4">
        <v>85</v>
      </c>
    </row>
  </sheetData>
  <mergeCells count="6">
    <mergeCell ref="B26:E26"/>
    <mergeCell ref="B33:E33"/>
    <mergeCell ref="B1:D1"/>
    <mergeCell ref="I9:J9"/>
    <mergeCell ref="L9:N9"/>
    <mergeCell ref="B20:D20"/>
  </mergeCells>
  <conditionalFormatting sqref="C43:E52">
    <cfRule type="cellIs" dxfId="115" priority="1" operator="greaterThan">
      <formula>70</formula>
    </cfRule>
    <cfRule type="cellIs" dxfId="114" priority="2" operator="between">
      <formula>42</formula>
      <formula>70</formula>
    </cfRule>
    <cfRule type="cellIs" dxfId="113" priority="3" operator="lessThan">
      <formula>40</formula>
    </cfRule>
  </conditionalFormatting>
  <pageMargins left="0.7" right="0.7" top="0.75" bottom="0.75" header="0.3" footer="0.3"/>
  <pageSetup orientation="portrait" r:id="rId1"/>
  <tableParts count="1">
    <tablePart r:id="rId2"/>
  </tableParts>
  <extLst>
    <ext xmlns:x14="http://schemas.microsoft.com/office/spreadsheetml/2009/9/main" uri="{05C60535-1F16-4fd2-B633-F4F36F0B64E0}">
      <x14:sparklineGroups xmlns:xm="http://schemas.microsoft.com/office/excel/2006/main">
        <x14:sparklineGroup type="column" displayEmptyCellsAs="gap">
          <x14:colorSeries rgb="FF376092"/>
          <x14:colorNegative rgb="FFD00000"/>
          <x14:colorAxis rgb="FF000000"/>
          <x14:colorMarkers rgb="FFD00000"/>
          <x14:colorFirst rgb="FFD00000"/>
          <x14:colorLast rgb="FFD00000"/>
          <x14:colorHigh rgb="FFD00000"/>
          <x14:colorLow rgb="FFD00000"/>
          <x14:sparklines>
            <x14:sparkline>
              <xm:f>Task!H20:H24</xm:f>
              <xm:sqref>H25</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49"/>
  <sheetViews>
    <sheetView topLeftCell="A28" zoomScale="130" zoomScaleNormal="130" workbookViewId="0">
      <selection activeCell="B22" sqref="B22:B24"/>
    </sheetView>
  </sheetViews>
  <sheetFormatPr defaultRowHeight="15" x14ac:dyDescent="0.25"/>
  <cols>
    <col min="2" max="2" width="29" customWidth="1"/>
    <col min="3" max="3" width="26.140625" customWidth="1"/>
    <col min="4" max="4" width="29.7109375" bestFit="1" customWidth="1"/>
    <col min="5" max="5" width="25.85546875" bestFit="1" customWidth="1"/>
    <col min="6" max="6" width="23.5703125" customWidth="1"/>
    <col min="7" max="7" width="22" customWidth="1"/>
    <col min="8" max="8" width="25.7109375" bestFit="1" customWidth="1"/>
    <col min="9" max="9" width="10" bestFit="1" customWidth="1"/>
    <col min="10" max="11" width="10.28515625" customWidth="1"/>
    <col min="14" max="14" width="13.140625" customWidth="1"/>
    <col min="15" max="15" width="14.5703125" customWidth="1"/>
    <col min="16" max="16" width="14.7109375" customWidth="1"/>
    <col min="17" max="17" width="13.42578125" customWidth="1"/>
  </cols>
  <sheetData>
    <row r="1" spans="2:7" x14ac:dyDescent="0.25">
      <c r="B1" s="14" t="s">
        <v>0</v>
      </c>
      <c r="C1" s="14" t="s">
        <v>1</v>
      </c>
      <c r="D1" s="14" t="s">
        <v>96</v>
      </c>
      <c r="E1" s="14" t="s">
        <v>10</v>
      </c>
      <c r="F1" s="14" t="s">
        <v>11</v>
      </c>
      <c r="G1" s="14" t="s">
        <v>12</v>
      </c>
    </row>
    <row r="2" spans="2:7" x14ac:dyDescent="0.25">
      <c r="B2" s="90" t="s">
        <v>2</v>
      </c>
      <c r="C2" s="90" t="s">
        <v>3</v>
      </c>
      <c r="D2" s="90" t="str">
        <f>CONCATENATE(B2,C2)</f>
        <v>BHARATHKUMAR</v>
      </c>
      <c r="E2" s="90" t="str">
        <f>CONCATENATE(B2," ",C2)</f>
        <v>BHARATH KUMAR</v>
      </c>
      <c r="F2" s="91"/>
      <c r="G2" s="90">
        <f>LEN(E2)</f>
        <v>13</v>
      </c>
    </row>
    <row r="3" spans="2:7" x14ac:dyDescent="0.25">
      <c r="B3" s="90" t="s">
        <v>4</v>
      </c>
      <c r="C3" s="90" t="s">
        <v>5</v>
      </c>
      <c r="D3" s="90" t="str">
        <f>CONCATENATE(B3,C3)</f>
        <v>SHAKTIKRISHNA</v>
      </c>
      <c r="E3" s="90" t="str">
        <f>CONCATENATE(B3," ",C3)</f>
        <v>SHAKTI KRISHNA</v>
      </c>
      <c r="F3" s="90"/>
      <c r="G3" s="90">
        <f t="shared" ref="G3:G5" si="0">LEN(E3)</f>
        <v>14</v>
      </c>
    </row>
    <row r="4" spans="2:7" x14ac:dyDescent="0.25">
      <c r="B4" s="90" t="s">
        <v>6</v>
      </c>
      <c r="C4" s="90" t="s">
        <v>7</v>
      </c>
      <c r="D4" s="90" t="str">
        <f>CONCATENATE(B4,C4)</f>
        <v>NEDUMARAN</v>
      </c>
      <c r="E4" s="90" t="str">
        <f>CONCATENATE(B4," ",C4)</f>
        <v>NEDU MARAN</v>
      </c>
      <c r="F4" s="90"/>
      <c r="G4" s="90">
        <f t="shared" si="0"/>
        <v>10</v>
      </c>
    </row>
    <row r="5" spans="2:7" x14ac:dyDescent="0.25">
      <c r="B5" s="90" t="s">
        <v>8</v>
      </c>
      <c r="C5" s="90" t="s">
        <v>9</v>
      </c>
      <c r="D5" s="90" t="str">
        <f>CONCATENATE(B5,C5)</f>
        <v>DHANUSHSHANKAR</v>
      </c>
      <c r="E5" s="90" t="str">
        <f>CONCATENATE(B5," ",C5)</f>
        <v>DHANUSH SHANKAR</v>
      </c>
      <c r="F5" s="90"/>
      <c r="G5" s="90">
        <f t="shared" si="0"/>
        <v>15</v>
      </c>
    </row>
    <row r="8" spans="2:7" x14ac:dyDescent="0.25">
      <c r="B8" s="164" t="s">
        <v>86</v>
      </c>
      <c r="C8" s="165"/>
      <c r="E8" s="164" t="s">
        <v>13</v>
      </c>
      <c r="F8" s="165"/>
    </row>
    <row r="9" spans="2:7" x14ac:dyDescent="0.25">
      <c r="B9" s="95" t="s">
        <v>14</v>
      </c>
      <c r="C9" s="4" t="str">
        <f>UPPER(B9)</f>
        <v>DAYANITHI</v>
      </c>
      <c r="E9" s="90" t="s">
        <v>19</v>
      </c>
      <c r="F9" s="4" t="str">
        <f>LOWER(B9)</f>
        <v>dayanithi</v>
      </c>
    </row>
    <row r="10" spans="2:7" x14ac:dyDescent="0.25">
      <c r="B10" s="4" t="s">
        <v>15</v>
      </c>
      <c r="C10" s="4" t="str">
        <f>UPPER(B10)</f>
        <v>BHARATH</v>
      </c>
      <c r="E10" s="4" t="s">
        <v>2</v>
      </c>
      <c r="F10" s="4" t="str">
        <f>LOWER(B10)</f>
        <v>bharath</v>
      </c>
    </row>
    <row r="11" spans="2:7" x14ac:dyDescent="0.25">
      <c r="B11" s="4" t="s">
        <v>16</v>
      </c>
      <c r="C11" s="4" t="str">
        <f>UPPER(B11)</f>
        <v>PRADEEP</v>
      </c>
      <c r="E11" s="4" t="s">
        <v>20</v>
      </c>
      <c r="F11" s="4" t="str">
        <f>LOWER(E11)</f>
        <v>pradeep</v>
      </c>
    </row>
    <row r="12" spans="2:7" x14ac:dyDescent="0.25">
      <c r="B12" s="4" t="s">
        <v>17</v>
      </c>
      <c r="C12" s="4" t="str">
        <f>UPPER(B12)</f>
        <v>DIWAKAR</v>
      </c>
      <c r="E12" s="4" t="s">
        <v>21</v>
      </c>
      <c r="F12" s="4" t="str">
        <f>LOWER(E12)</f>
        <v>diwakar</v>
      </c>
    </row>
    <row r="13" spans="2:7" x14ac:dyDescent="0.25">
      <c r="B13" s="4" t="s">
        <v>18</v>
      </c>
      <c r="C13" s="4" t="str">
        <f>UPPER(B13)</f>
        <v>ARUN</v>
      </c>
      <c r="E13" s="4" t="s">
        <v>22</v>
      </c>
      <c r="F13" s="4" t="str">
        <f>LOWER(E13)</f>
        <v>arun</v>
      </c>
    </row>
    <row r="16" spans="2:7" x14ac:dyDescent="0.25">
      <c r="B16" s="164" t="s">
        <v>23</v>
      </c>
      <c r="C16" s="165"/>
      <c r="E16" s="15" t="s">
        <v>34</v>
      </c>
      <c r="F16" s="15" t="s">
        <v>27</v>
      </c>
    </row>
    <row r="17" spans="2:8" x14ac:dyDescent="0.25">
      <c r="B17" s="1" t="s">
        <v>24</v>
      </c>
      <c r="C17" s="1" t="str">
        <f>SUBSTITUTE(B17,"BANENA","BANANA",1)</f>
        <v>BANANA</v>
      </c>
      <c r="E17" s="1" t="s">
        <v>35</v>
      </c>
      <c r="F17" s="1" t="str">
        <f>TRIM(E17)</f>
        <v>ARUN KUMAR</v>
      </c>
    </row>
    <row r="18" spans="2:8" x14ac:dyDescent="0.25">
      <c r="B18" s="1" t="s">
        <v>25</v>
      </c>
      <c r="C18" s="1" t="str">
        <f>SUBSTITUTE(B18,"PINEABPLE","PINEAPPLE",1)</f>
        <v>PINEAPPLE</v>
      </c>
      <c r="E18" s="1" t="s">
        <v>36</v>
      </c>
      <c r="F18" s="1" t="str">
        <f>TRIM(E18)</f>
        <v>BHARATH KUMAR</v>
      </c>
    </row>
    <row r="19" spans="2:8" x14ac:dyDescent="0.25">
      <c r="B19" s="1" t="s">
        <v>26</v>
      </c>
      <c r="C19" s="1" t="str">
        <f>SUBSTITUTE(B19,"IODINT","IODINE",1)</f>
        <v>IODINE</v>
      </c>
      <c r="E19" s="1" t="s">
        <v>37</v>
      </c>
      <c r="F19" s="1" t="str">
        <f>TRIM(E19)</f>
        <v>DHANUSH SHANKAR</v>
      </c>
    </row>
    <row r="21" spans="2:8" x14ac:dyDescent="0.25">
      <c r="B21" s="14" t="s">
        <v>28</v>
      </c>
      <c r="C21" s="14" t="s">
        <v>0</v>
      </c>
      <c r="D21" s="14" t="s">
        <v>29</v>
      </c>
      <c r="E21" s="14" t="s">
        <v>30</v>
      </c>
    </row>
    <row r="22" spans="2:8" x14ac:dyDescent="0.25">
      <c r="B22" s="4" t="s">
        <v>31</v>
      </c>
      <c r="C22" s="4" t="str">
        <f>LEFT(B22,4)</f>
        <v>HARI</v>
      </c>
      <c r="D22" s="4" t="str">
        <f>MID(B22,5,9)</f>
        <v xml:space="preserve"> KESHAVAN</v>
      </c>
      <c r="E22" s="4" t="str">
        <f>RIGHT(B22,6)</f>
        <v>MURTHI</v>
      </c>
    </row>
    <row r="23" spans="2:8" x14ac:dyDescent="0.25">
      <c r="B23" s="4" t="s">
        <v>32</v>
      </c>
      <c r="C23" s="4" t="str">
        <f>LEFT(B23,5)</f>
        <v>SIRIL</v>
      </c>
      <c r="D23" s="4" t="str">
        <f>MID(B23,6,4)</f>
        <v xml:space="preserve"> SAM</v>
      </c>
      <c r="E23" s="4" t="str">
        <f>RIGHT(B23,7)</f>
        <v>MICKAEL</v>
      </c>
    </row>
    <row r="24" spans="2:8" x14ac:dyDescent="0.25">
      <c r="B24" s="4" t="s">
        <v>33</v>
      </c>
      <c r="C24" s="4" t="str">
        <f>LEFT(B24,5)</f>
        <v>SHREE</v>
      </c>
      <c r="D24" s="4" t="str">
        <f>MID(B24,6,7)</f>
        <v xml:space="preserve"> SHAKTI</v>
      </c>
      <c r="E24" s="4" t="str">
        <f>RIGHT(B24,7)</f>
        <v>KRISHNA</v>
      </c>
    </row>
    <row r="27" spans="2:8" x14ac:dyDescent="0.25">
      <c r="B27" s="5" t="s">
        <v>38</v>
      </c>
    </row>
    <row r="28" spans="2:8" x14ac:dyDescent="0.25">
      <c r="B28" s="14" t="s">
        <v>39</v>
      </c>
      <c r="C28" s="14" t="s">
        <v>40</v>
      </c>
      <c r="D28" s="14" t="s">
        <v>41</v>
      </c>
      <c r="E28" s="14" t="s">
        <v>43</v>
      </c>
      <c r="F28" s="14" t="s">
        <v>42</v>
      </c>
      <c r="G28" s="14" t="s">
        <v>44</v>
      </c>
      <c r="H28" s="14" t="s">
        <v>95</v>
      </c>
    </row>
    <row r="29" spans="2:8" x14ac:dyDescent="0.25">
      <c r="B29" s="4">
        <v>8</v>
      </c>
      <c r="C29" s="4">
        <v>4</v>
      </c>
      <c r="D29" s="4">
        <f>(B29+C29)</f>
        <v>12</v>
      </c>
      <c r="E29" s="4">
        <f>(B29-C29)</f>
        <v>4</v>
      </c>
      <c r="F29" s="4">
        <f>B29*C29</f>
        <v>32</v>
      </c>
      <c r="G29" s="4">
        <f>B29/C29</f>
        <v>2</v>
      </c>
      <c r="H29" s="4">
        <f>D29^3</f>
        <v>1728</v>
      </c>
    </row>
    <row r="30" spans="2:8" x14ac:dyDescent="0.25">
      <c r="B30" s="4">
        <v>5</v>
      </c>
      <c r="C30" s="4">
        <v>9</v>
      </c>
      <c r="D30" s="4">
        <f>(B30+C30)</f>
        <v>14</v>
      </c>
      <c r="E30" s="4">
        <f>(B30-C30)</f>
        <v>-4</v>
      </c>
      <c r="F30" s="4">
        <f>B30*C30</f>
        <v>45</v>
      </c>
      <c r="G30" s="4">
        <f>B30/C30</f>
        <v>0.55555555555555558</v>
      </c>
      <c r="H30" s="4">
        <f t="shared" ref="H30:H33" si="1">D30^3</f>
        <v>2744</v>
      </c>
    </row>
    <row r="31" spans="2:8" x14ac:dyDescent="0.25">
      <c r="B31" s="4">
        <v>7</v>
      </c>
      <c r="C31" s="4">
        <v>9</v>
      </c>
      <c r="D31" s="4">
        <f>(B31+C31)</f>
        <v>16</v>
      </c>
      <c r="E31" s="4">
        <f>(B31-C31)</f>
        <v>-2</v>
      </c>
      <c r="F31" s="4">
        <f>B31*C31</f>
        <v>63</v>
      </c>
      <c r="G31" s="4">
        <f>B31/C31</f>
        <v>0.77777777777777779</v>
      </c>
      <c r="H31" s="4">
        <f t="shared" si="1"/>
        <v>4096</v>
      </c>
    </row>
    <row r="32" spans="2:8" x14ac:dyDescent="0.25">
      <c r="B32" s="4">
        <v>8</v>
      </c>
      <c r="C32" s="4">
        <v>6</v>
      </c>
      <c r="D32" s="4">
        <f>(B32+C32)</f>
        <v>14</v>
      </c>
      <c r="E32" s="4">
        <f>(B32-C32)</f>
        <v>2</v>
      </c>
      <c r="F32" s="4">
        <f>B32*C32</f>
        <v>48</v>
      </c>
      <c r="G32" s="4">
        <f>B32/C32</f>
        <v>1.3333333333333333</v>
      </c>
      <c r="H32" s="4">
        <f t="shared" si="1"/>
        <v>2744</v>
      </c>
    </row>
    <row r="33" spans="2:12" x14ac:dyDescent="0.25">
      <c r="B33" s="4">
        <v>11</v>
      </c>
      <c r="C33" s="4">
        <v>8</v>
      </c>
      <c r="D33" s="4">
        <f>(B33+C33)</f>
        <v>19</v>
      </c>
      <c r="E33" s="4">
        <f>(B33-C33)</f>
        <v>3</v>
      </c>
      <c r="F33" s="4">
        <f>B33*C33</f>
        <v>88</v>
      </c>
      <c r="G33" s="4">
        <f>B33/C33</f>
        <v>1.375</v>
      </c>
      <c r="H33" s="4">
        <f t="shared" si="1"/>
        <v>6859</v>
      </c>
    </row>
    <row r="36" spans="2:12" x14ac:dyDescent="0.25">
      <c r="B36" s="14" t="s">
        <v>45</v>
      </c>
      <c r="C36" s="14" t="s">
        <v>46</v>
      </c>
      <c r="D36" s="14" t="s">
        <v>47</v>
      </c>
      <c r="E36" s="14" t="s">
        <v>48</v>
      </c>
      <c r="F36" s="14" t="s">
        <v>49</v>
      </c>
      <c r="G36" s="14" t="s">
        <v>50</v>
      </c>
      <c r="H36" s="14" t="s">
        <v>51</v>
      </c>
      <c r="I36" s="14" t="s">
        <v>52</v>
      </c>
      <c r="J36" s="14" t="s">
        <v>56</v>
      </c>
      <c r="K36" s="14" t="s">
        <v>57</v>
      </c>
      <c r="L36" s="3"/>
    </row>
    <row r="37" spans="2:12" x14ac:dyDescent="0.25">
      <c r="B37" s="4" t="s">
        <v>5</v>
      </c>
      <c r="C37" s="4">
        <v>77</v>
      </c>
      <c r="D37" s="4">
        <v>80</v>
      </c>
      <c r="E37" s="4">
        <v>78</v>
      </c>
      <c r="F37" s="4">
        <v>71</v>
      </c>
      <c r="G37" s="4">
        <v>80</v>
      </c>
      <c r="H37" s="4">
        <f>SUM(C37:G37)</f>
        <v>386</v>
      </c>
      <c r="I37" s="4">
        <f>AVERAGE(C37:G37)</f>
        <v>77.2</v>
      </c>
      <c r="J37" s="4">
        <f>MIN(C37:G37)</f>
        <v>71</v>
      </c>
      <c r="K37" s="4">
        <f>MAX(C37:G37)</f>
        <v>80</v>
      </c>
      <c r="L37" s="3"/>
    </row>
    <row r="38" spans="2:12" x14ac:dyDescent="0.25">
      <c r="B38" s="4" t="s">
        <v>53</v>
      </c>
      <c r="C38" s="4">
        <v>69</v>
      </c>
      <c r="D38" s="4">
        <v>75</v>
      </c>
      <c r="E38" s="4">
        <v>70</v>
      </c>
      <c r="F38" s="4">
        <v>77</v>
      </c>
      <c r="G38" s="4">
        <v>74</v>
      </c>
      <c r="H38" s="4">
        <f>SUM(C38:G38)</f>
        <v>365</v>
      </c>
      <c r="I38" s="4">
        <f>AVERAGE(C38:G38)</f>
        <v>73</v>
      </c>
      <c r="J38" s="4">
        <f t="shared" ref="J38:J40" si="2">MIN(C38:G38)</f>
        <v>69</v>
      </c>
      <c r="K38" s="4">
        <f t="shared" ref="K38:K40" si="3">MAX(C38:G38)</f>
        <v>77</v>
      </c>
      <c r="L38" s="3"/>
    </row>
    <row r="39" spans="2:12" x14ac:dyDescent="0.25">
      <c r="B39" s="4" t="s">
        <v>54</v>
      </c>
      <c r="C39" s="4">
        <v>73</v>
      </c>
      <c r="D39" s="4">
        <v>84</v>
      </c>
      <c r="E39" s="4">
        <v>80</v>
      </c>
      <c r="F39" s="4">
        <v>86</v>
      </c>
      <c r="G39" s="4">
        <v>70</v>
      </c>
      <c r="H39" s="4">
        <f>SUM(C39:G39)</f>
        <v>393</v>
      </c>
      <c r="I39" s="4">
        <f>AVERAGE(C39:G39)</f>
        <v>78.599999999999994</v>
      </c>
      <c r="J39" s="4">
        <f t="shared" si="2"/>
        <v>70</v>
      </c>
      <c r="K39" s="4">
        <f t="shared" si="3"/>
        <v>86</v>
      </c>
      <c r="L39" s="3"/>
    </row>
    <row r="40" spans="2:12" x14ac:dyDescent="0.25">
      <c r="B40" s="4" t="s">
        <v>55</v>
      </c>
      <c r="C40" s="4">
        <v>70</v>
      </c>
      <c r="D40" s="4">
        <v>71</v>
      </c>
      <c r="E40" s="4">
        <v>79</v>
      </c>
      <c r="F40" s="4">
        <v>72</v>
      </c>
      <c r="G40" s="4">
        <v>79</v>
      </c>
      <c r="H40" s="4">
        <f>SUM(C40:G40)</f>
        <v>371</v>
      </c>
      <c r="I40" s="4">
        <f>AVERAGE(C40:G40)</f>
        <v>74.2</v>
      </c>
      <c r="J40" s="4">
        <f t="shared" si="2"/>
        <v>70</v>
      </c>
      <c r="K40" s="4">
        <f t="shared" si="3"/>
        <v>79</v>
      </c>
      <c r="L40" s="3"/>
    </row>
    <row r="41" spans="2:12" x14ac:dyDescent="0.25">
      <c r="B41" s="4" t="s">
        <v>9</v>
      </c>
      <c r="C41" s="4">
        <v>79</v>
      </c>
      <c r="D41" s="4">
        <v>69</v>
      </c>
      <c r="E41" s="4">
        <v>72</v>
      </c>
      <c r="F41" s="4">
        <v>80</v>
      </c>
      <c r="G41" s="4">
        <v>82</v>
      </c>
      <c r="H41" s="4">
        <f>SUM(C41:G41)</f>
        <v>382</v>
      </c>
      <c r="I41" s="4">
        <f>AVERAGE(C41:G41)</f>
        <v>76.400000000000006</v>
      </c>
      <c r="J41" s="4">
        <f>MIN(C41:G41)</f>
        <v>69</v>
      </c>
      <c r="K41" s="4">
        <f>MAX(C41:G41)</f>
        <v>82</v>
      </c>
      <c r="L41" s="3"/>
    </row>
    <row r="44" spans="2:12" x14ac:dyDescent="0.25">
      <c r="B44" s="14" t="s">
        <v>58</v>
      </c>
      <c r="C44" s="14" t="s">
        <v>59</v>
      </c>
      <c r="D44" s="14" t="s">
        <v>60</v>
      </c>
      <c r="E44" s="14" t="s">
        <v>61</v>
      </c>
      <c r="G44" s="14" t="s">
        <v>62</v>
      </c>
      <c r="H44" s="14" t="s">
        <v>64</v>
      </c>
      <c r="I44" s="14" t="s">
        <v>63</v>
      </c>
    </row>
    <row r="45" spans="2:12" x14ac:dyDescent="0.25">
      <c r="B45" s="4">
        <v>10</v>
      </c>
      <c r="C45" s="4">
        <v>2</v>
      </c>
      <c r="D45" s="4">
        <f>QUOTIENT(B45,C45)</f>
        <v>5</v>
      </c>
      <c r="E45" s="4">
        <f>MOD(C45,B45)</f>
        <v>2</v>
      </c>
      <c r="G45" s="4" t="s">
        <v>65</v>
      </c>
      <c r="H45" s="4">
        <v>12</v>
      </c>
      <c r="I45" s="4">
        <v>60</v>
      </c>
    </row>
    <row r="46" spans="2:12" x14ac:dyDescent="0.25">
      <c r="B46" s="4">
        <v>14</v>
      </c>
      <c r="C46" s="4">
        <v>7</v>
      </c>
      <c r="D46" s="4">
        <f>QUOTIENT(B46,C46)</f>
        <v>2</v>
      </c>
      <c r="E46" s="4">
        <f>MOD(C46,B46)</f>
        <v>7</v>
      </c>
      <c r="G46" s="4" t="s">
        <v>66</v>
      </c>
      <c r="H46" s="4">
        <v>6</v>
      </c>
      <c r="I46" s="4">
        <v>250</v>
      </c>
    </row>
    <row r="47" spans="2:12" x14ac:dyDescent="0.25">
      <c r="B47" s="4">
        <v>20</v>
      </c>
      <c r="C47" s="4">
        <v>4</v>
      </c>
      <c r="D47" s="4">
        <f>QUOTIENT(B47,C47)</f>
        <v>5</v>
      </c>
      <c r="E47" s="4">
        <f>MOD(C47,B47)</f>
        <v>4</v>
      </c>
      <c r="G47" s="4" t="s">
        <v>67</v>
      </c>
      <c r="H47" s="4">
        <v>20</v>
      </c>
      <c r="I47" s="4">
        <v>6</v>
      </c>
    </row>
    <row r="48" spans="2:12" x14ac:dyDescent="0.25">
      <c r="B48" s="4">
        <v>72</v>
      </c>
      <c r="C48" s="4">
        <v>8</v>
      </c>
      <c r="D48" s="4">
        <f>QUOTIENT(B48,C48)</f>
        <v>9</v>
      </c>
      <c r="E48" s="4">
        <f>MOD(C48,B48)</f>
        <v>8</v>
      </c>
      <c r="G48" s="4" t="s">
        <v>68</v>
      </c>
      <c r="H48" s="4">
        <v>20</v>
      </c>
      <c r="I48" s="4">
        <v>10</v>
      </c>
    </row>
    <row r="49" spans="2:9" x14ac:dyDescent="0.25">
      <c r="B49" s="4">
        <v>64</v>
      </c>
      <c r="C49" s="4">
        <v>4</v>
      </c>
      <c r="D49" s="4">
        <f>QUOTIENT(B49,C49)</f>
        <v>16</v>
      </c>
      <c r="E49" s="4">
        <f>MOD(C49,B49)</f>
        <v>4</v>
      </c>
      <c r="G49" s="16"/>
      <c r="H49" s="162">
        <f>SUMPRODUCT(H45:H48,I45:I48)</f>
        <v>2540</v>
      </c>
      <c r="I49" s="163"/>
    </row>
  </sheetData>
  <mergeCells count="4">
    <mergeCell ref="H49:I49"/>
    <mergeCell ref="B16:C16"/>
    <mergeCell ref="B8:C8"/>
    <mergeCell ref="E8:F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
  <sheetViews>
    <sheetView topLeftCell="C25" zoomScale="170" zoomScaleNormal="170" workbookViewId="0">
      <selection activeCell="N37" sqref="N37"/>
    </sheetView>
  </sheetViews>
  <sheetFormatPr defaultRowHeight="15" x14ac:dyDescent="0.25"/>
  <cols>
    <col min="6" max="6" width="13.85546875" bestFit="1" customWidth="1"/>
    <col min="7" max="7" width="16.28515625" bestFit="1" customWidth="1"/>
    <col min="8" max="8" width="6.140625" customWidth="1"/>
    <col min="9" max="9" width="4.42578125" customWidth="1"/>
    <col min="10" max="10" width="11.28515625" bestFit="1" customWidth="1"/>
    <col min="12" max="12" width="13.140625" bestFit="1" customWidth="1"/>
    <col min="13" max="13" width="16.28515625" bestFit="1" customWidth="1"/>
    <col min="16" max="16" width="11.28515625" bestFit="1" customWidth="1"/>
  </cols>
  <sheetData>
    <row r="1" spans="1:16" x14ac:dyDescent="0.25">
      <c r="A1" s="15" t="s">
        <v>307</v>
      </c>
      <c r="B1" s="15" t="s">
        <v>211</v>
      </c>
      <c r="C1" s="15" t="s">
        <v>165</v>
      </c>
      <c r="D1" s="15" t="s">
        <v>302</v>
      </c>
    </row>
    <row r="2" spans="1:16" x14ac:dyDescent="0.25">
      <c r="A2" s="77">
        <v>45658</v>
      </c>
      <c r="B2" s="1" t="s">
        <v>218</v>
      </c>
      <c r="C2" s="1" t="s">
        <v>279</v>
      </c>
      <c r="D2" s="1">
        <v>120</v>
      </c>
      <c r="F2" s="88" t="s">
        <v>309</v>
      </c>
      <c r="G2" s="88" t="s">
        <v>308</v>
      </c>
      <c r="H2" s="1"/>
      <c r="I2" s="1"/>
      <c r="J2" s="1"/>
      <c r="L2" s="88" t="s">
        <v>309</v>
      </c>
      <c r="M2" s="88" t="s">
        <v>308</v>
      </c>
      <c r="N2" s="1"/>
      <c r="O2" s="1"/>
      <c r="P2" s="1"/>
    </row>
    <row r="3" spans="1:16" x14ac:dyDescent="0.25">
      <c r="A3" s="77">
        <v>45660</v>
      </c>
      <c r="B3" s="1" t="s">
        <v>219</v>
      </c>
      <c r="C3" s="1" t="s">
        <v>280</v>
      </c>
      <c r="D3" s="1">
        <v>200</v>
      </c>
      <c r="F3" s="88" t="s">
        <v>103</v>
      </c>
      <c r="G3" s="1" t="s">
        <v>280</v>
      </c>
      <c r="H3" s="1" t="s">
        <v>282</v>
      </c>
      <c r="I3" s="1" t="s">
        <v>279</v>
      </c>
      <c r="J3" s="1" t="s">
        <v>104</v>
      </c>
      <c r="L3" s="88" t="s">
        <v>103</v>
      </c>
      <c r="M3" s="1" t="s">
        <v>280</v>
      </c>
      <c r="N3" s="1" t="s">
        <v>282</v>
      </c>
      <c r="O3" s="1" t="s">
        <v>279</v>
      </c>
      <c r="P3" s="1" t="s">
        <v>104</v>
      </c>
    </row>
    <row r="4" spans="1:16" x14ac:dyDescent="0.25">
      <c r="A4" s="77">
        <v>45661</v>
      </c>
      <c r="B4" s="1" t="s">
        <v>218</v>
      </c>
      <c r="C4" s="1" t="s">
        <v>279</v>
      </c>
      <c r="D4" s="1">
        <v>150</v>
      </c>
      <c r="F4" s="87" t="s">
        <v>218</v>
      </c>
      <c r="G4" s="60"/>
      <c r="H4" s="60"/>
      <c r="I4" s="60">
        <v>270</v>
      </c>
      <c r="J4" s="60">
        <v>270</v>
      </c>
      <c r="L4" s="87" t="s">
        <v>218</v>
      </c>
      <c r="M4" s="60"/>
      <c r="N4" s="60"/>
      <c r="O4" s="60">
        <v>270</v>
      </c>
      <c r="P4" s="60">
        <v>270</v>
      </c>
    </row>
    <row r="5" spans="1:16" x14ac:dyDescent="0.25">
      <c r="A5" s="77">
        <v>45663</v>
      </c>
      <c r="B5" s="1" t="s">
        <v>220</v>
      </c>
      <c r="C5" s="1" t="s">
        <v>282</v>
      </c>
      <c r="D5" s="1">
        <v>300</v>
      </c>
      <c r="F5" s="89">
        <v>45658</v>
      </c>
      <c r="G5" s="60"/>
      <c r="H5" s="60"/>
      <c r="I5" s="60">
        <v>120</v>
      </c>
      <c r="J5" s="60">
        <v>120</v>
      </c>
      <c r="L5" s="87" t="s">
        <v>220</v>
      </c>
      <c r="M5" s="60"/>
      <c r="N5" s="60">
        <v>300</v>
      </c>
      <c r="O5" s="60"/>
      <c r="P5" s="60">
        <v>300</v>
      </c>
    </row>
    <row r="6" spans="1:16" x14ac:dyDescent="0.25">
      <c r="A6" s="77">
        <v>45664</v>
      </c>
      <c r="B6" s="1" t="s">
        <v>219</v>
      </c>
      <c r="C6" s="1" t="s">
        <v>280</v>
      </c>
      <c r="D6" s="1">
        <v>500</v>
      </c>
      <c r="F6" s="89">
        <v>45661</v>
      </c>
      <c r="G6" s="60"/>
      <c r="H6" s="60"/>
      <c r="I6" s="60">
        <v>150</v>
      </c>
      <c r="J6" s="60">
        <v>150</v>
      </c>
      <c r="L6" s="87" t="s">
        <v>219</v>
      </c>
      <c r="M6" s="60">
        <v>700</v>
      </c>
      <c r="N6" s="60"/>
      <c r="O6" s="60"/>
      <c r="P6" s="60">
        <v>700</v>
      </c>
    </row>
    <row r="7" spans="1:16" x14ac:dyDescent="0.25">
      <c r="F7" s="87" t="s">
        <v>220</v>
      </c>
      <c r="G7" s="60"/>
      <c r="H7" s="60">
        <v>300</v>
      </c>
      <c r="I7" s="60"/>
      <c r="J7" s="60">
        <v>300</v>
      </c>
      <c r="L7" s="87" t="s">
        <v>104</v>
      </c>
      <c r="M7" s="60">
        <v>700</v>
      </c>
      <c r="N7" s="60">
        <v>300</v>
      </c>
      <c r="O7" s="60">
        <v>270</v>
      </c>
      <c r="P7" s="60">
        <v>1270</v>
      </c>
    </row>
    <row r="8" spans="1:16" x14ac:dyDescent="0.25">
      <c r="F8" s="89">
        <v>45663</v>
      </c>
      <c r="G8" s="60"/>
      <c r="H8" s="60">
        <v>300</v>
      </c>
      <c r="I8" s="60"/>
      <c r="J8" s="60">
        <v>300</v>
      </c>
    </row>
    <row r="9" spans="1:16" x14ac:dyDescent="0.25">
      <c r="F9" s="87" t="s">
        <v>219</v>
      </c>
      <c r="G9" s="60">
        <v>700</v>
      </c>
      <c r="H9" s="60"/>
      <c r="I9" s="60"/>
      <c r="J9" s="60">
        <v>700</v>
      </c>
    </row>
    <row r="10" spans="1:16" x14ac:dyDescent="0.25">
      <c r="F10" s="89">
        <v>45660</v>
      </c>
      <c r="G10" s="60">
        <v>200</v>
      </c>
      <c r="H10" s="60"/>
      <c r="I10" s="60"/>
      <c r="J10" s="60">
        <v>200</v>
      </c>
    </row>
    <row r="11" spans="1:16" x14ac:dyDescent="0.25">
      <c r="F11" s="89">
        <v>45664</v>
      </c>
      <c r="G11" s="60">
        <v>500</v>
      </c>
      <c r="H11" s="60"/>
      <c r="I11" s="60"/>
      <c r="J11" s="60">
        <v>500</v>
      </c>
    </row>
    <row r="12" spans="1:16" x14ac:dyDescent="0.25">
      <c r="F12" s="87" t="s">
        <v>104</v>
      </c>
      <c r="G12" s="60">
        <v>700</v>
      </c>
      <c r="H12" s="60">
        <v>300</v>
      </c>
      <c r="I12" s="60">
        <v>270</v>
      </c>
      <c r="J12" s="60">
        <v>1270</v>
      </c>
    </row>
    <row r="30" spans="14:14" x14ac:dyDescent="0.25">
      <c r="N30" s="92"/>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
  <sheetViews>
    <sheetView zoomScale="77" zoomScaleNormal="77" workbookViewId="0">
      <selection activeCell="G3" sqref="G3"/>
    </sheetView>
  </sheetViews>
  <sheetFormatPr defaultRowHeight="15" x14ac:dyDescent="0.25"/>
  <cols>
    <col min="3" max="3" width="10.28515625" bestFit="1" customWidth="1"/>
    <col min="7" max="7" width="12.85546875" bestFit="1" customWidth="1"/>
    <col min="9" max="9" width="11.7109375" bestFit="1" customWidth="1"/>
    <col min="14" max="14" width="12.85546875" bestFit="1" customWidth="1"/>
  </cols>
  <sheetData>
    <row r="1" spans="1:14" x14ac:dyDescent="0.25">
      <c r="A1" s="161" t="s">
        <v>318</v>
      </c>
      <c r="B1" s="161"/>
      <c r="D1" s="161" t="s">
        <v>319</v>
      </c>
      <c r="E1" s="161"/>
      <c r="G1" s="161" t="s">
        <v>320</v>
      </c>
      <c r="H1" s="161"/>
      <c r="J1" s="161" t="s">
        <v>321</v>
      </c>
      <c r="K1" s="161"/>
      <c r="M1" s="161" t="s">
        <v>322</v>
      </c>
      <c r="N1" s="161"/>
    </row>
    <row r="2" spans="1:14" x14ac:dyDescent="0.25">
      <c r="A2" s="1">
        <v>3.65</v>
      </c>
      <c r="B2" s="1">
        <f>CEILING(3.65,1)</f>
        <v>4</v>
      </c>
      <c r="D2" s="1">
        <v>3.65</v>
      </c>
      <c r="E2" s="1">
        <f>FLOOR(D2,3)</f>
        <v>3</v>
      </c>
      <c r="G2" s="1">
        <f ca="1">SECOND(NOW())</f>
        <v>56</v>
      </c>
      <c r="J2" s="1">
        <v>10</v>
      </c>
      <c r="K2" s="1">
        <f>INT(10)</f>
        <v>10</v>
      </c>
      <c r="M2" s="1">
        <v>45</v>
      </c>
      <c r="N2" s="1" t="b">
        <f>NOT(39&gt;50)</f>
        <v>1</v>
      </c>
    </row>
    <row r="3" spans="1:14" x14ac:dyDescent="0.25">
      <c r="A3" s="1">
        <v>6.58</v>
      </c>
      <c r="B3" s="1">
        <f>CEILING(A3,1)</f>
        <v>7</v>
      </c>
      <c r="D3" s="1">
        <v>6.58</v>
      </c>
      <c r="E3" s="1">
        <f>FLOOR(D3,6)</f>
        <v>6</v>
      </c>
      <c r="J3" s="1">
        <v>25</v>
      </c>
      <c r="K3" s="1">
        <f>INT(J3)</f>
        <v>25</v>
      </c>
    </row>
    <row r="4" spans="1:14" x14ac:dyDescent="0.25">
      <c r="A4" s="1">
        <v>9.8699999999999992</v>
      </c>
      <c r="B4" s="1">
        <f t="shared" ref="B4:B6" si="0">CEILING(A4,1)</f>
        <v>10</v>
      </c>
      <c r="D4" s="1">
        <v>9.8699999999999992</v>
      </c>
      <c r="E4" s="1">
        <f>FLOOR(D4,9)</f>
        <v>9</v>
      </c>
      <c r="J4" s="1">
        <v>28</v>
      </c>
      <c r="K4" s="1">
        <f t="shared" ref="K4:K6" si="1">INT(J4)</f>
        <v>28</v>
      </c>
    </row>
    <row r="5" spans="1:14" x14ac:dyDescent="0.25">
      <c r="A5" s="1">
        <v>8.7799999999999994</v>
      </c>
      <c r="B5" s="1">
        <f t="shared" si="0"/>
        <v>9</v>
      </c>
      <c r="D5" s="1">
        <v>8.7799999999999994</v>
      </c>
      <c r="E5" s="1">
        <f t="shared" ref="E5" si="2">FLOOR(D5,4)</f>
        <v>8</v>
      </c>
      <c r="J5" s="1">
        <v>36</v>
      </c>
      <c r="K5" s="1">
        <f t="shared" si="1"/>
        <v>36</v>
      </c>
    </row>
    <row r="6" spans="1:14" x14ac:dyDescent="0.25">
      <c r="A6" s="1">
        <v>7.28</v>
      </c>
      <c r="B6" s="1">
        <f t="shared" si="0"/>
        <v>8</v>
      </c>
      <c r="D6" s="1">
        <v>7.28</v>
      </c>
      <c r="E6" s="1">
        <f>FLOOR(D6,7)</f>
        <v>7</v>
      </c>
      <c r="J6" s="1">
        <v>39</v>
      </c>
      <c r="K6" s="1">
        <f t="shared" si="1"/>
        <v>39</v>
      </c>
    </row>
    <row r="8" spans="1:14" x14ac:dyDescent="0.25">
      <c r="A8" s="161" t="s">
        <v>346</v>
      </c>
      <c r="B8" s="161"/>
      <c r="D8" s="161" t="s">
        <v>323</v>
      </c>
      <c r="E8" s="161"/>
      <c r="G8" s="94" t="s">
        <v>327</v>
      </c>
      <c r="I8" s="94" t="s">
        <v>328</v>
      </c>
      <c r="K8" s="161" t="s">
        <v>329</v>
      </c>
      <c r="L8" s="161"/>
      <c r="N8" s="94" t="s">
        <v>335</v>
      </c>
    </row>
    <row r="9" spans="1:14" x14ac:dyDescent="0.25">
      <c r="A9" s="1" t="s">
        <v>324</v>
      </c>
      <c r="B9" s="1">
        <f>FIND("UE",E9)</f>
        <v>3</v>
      </c>
      <c r="D9" s="1" t="s">
        <v>324</v>
      </c>
      <c r="E9" s="1" t="str">
        <f>CHOOSE(2,"RED","BLUE","ORANGE")</f>
        <v>BLUE</v>
      </c>
      <c r="G9" s="1" t="str">
        <f>TEXT(E2,"DD,MM,YY")</f>
        <v>03,01,00</v>
      </c>
      <c r="I9" s="1">
        <f>WEEKDAY(E3,2)</f>
        <v>5</v>
      </c>
      <c r="K9" s="1">
        <f>WEEKNUM(E3,2)</f>
        <v>2</v>
      </c>
      <c r="L9" s="1"/>
      <c r="N9" s="1">
        <f>FACT(25)</f>
        <v>1.5511210043330984E+25</v>
      </c>
    </row>
    <row r="10" spans="1:14" x14ac:dyDescent="0.25">
      <c r="D10" s="1" t="s">
        <v>325</v>
      </c>
      <c r="E10" s="1" t="str">
        <f>CHOOSE(3,"RED","BLUE","ORANGE")</f>
        <v>ORANGE</v>
      </c>
    </row>
    <row r="11" spans="1:14" x14ac:dyDescent="0.25">
      <c r="D11" s="1" t="s">
        <v>326</v>
      </c>
      <c r="E11" s="1" t="str">
        <f>CHOOSE(1,"RED","BLUE","ORANGE")</f>
        <v>RED</v>
      </c>
      <c r="N11" s="94" t="s">
        <v>336</v>
      </c>
    </row>
    <row r="12" spans="1:14" x14ac:dyDescent="0.25">
      <c r="N12" s="1">
        <f>COMBIN(10,4)</f>
        <v>209.99999999999997</v>
      </c>
    </row>
    <row r="13" spans="1:14" x14ac:dyDescent="0.25">
      <c r="A13" s="161" t="s">
        <v>330</v>
      </c>
      <c r="B13" s="161"/>
      <c r="D13" s="161" t="s">
        <v>331</v>
      </c>
      <c r="E13" s="161"/>
      <c r="G13" s="161" t="s">
        <v>332</v>
      </c>
      <c r="H13" s="161"/>
      <c r="J13" s="94" t="s">
        <v>333</v>
      </c>
      <c r="L13" s="94" t="s">
        <v>334</v>
      </c>
    </row>
    <row r="14" spans="1:14" x14ac:dyDescent="0.25">
      <c r="A14" s="1">
        <v>15</v>
      </c>
      <c r="B14" s="1" t="b">
        <f>ISNUMBER(B4)</f>
        <v>1</v>
      </c>
      <c r="D14" s="1" t="b">
        <f>ISBLANK(F14)</f>
        <v>1</v>
      </c>
      <c r="G14" s="1">
        <v>15</v>
      </c>
      <c r="H14" s="1" t="b">
        <f>ISTEXT(G14)</f>
        <v>0</v>
      </c>
      <c r="J14" s="1" t="b">
        <f>ISNA(K14)</f>
        <v>0</v>
      </c>
      <c r="L14" s="1">
        <f>TYPE(B2)</f>
        <v>1</v>
      </c>
      <c r="N14" s="94" t="s">
        <v>337</v>
      </c>
    </row>
    <row r="15" spans="1:14" x14ac:dyDescent="0.25">
      <c r="A15" s="1" t="s">
        <v>34</v>
      </c>
      <c r="B15" s="1" t="b">
        <f>ISNUMBER(A15)</f>
        <v>0</v>
      </c>
      <c r="D15" s="1" t="b">
        <f>ISBLANK(D8)</f>
        <v>0</v>
      </c>
      <c r="G15" s="1" t="s">
        <v>34</v>
      </c>
      <c r="H15" s="1" t="b">
        <f>ISTEXT(G15)</f>
        <v>1</v>
      </c>
      <c r="N15" s="1">
        <f>PERMUT(10,3)</f>
        <v>720</v>
      </c>
    </row>
    <row r="17" spans="1:14" x14ac:dyDescent="0.25">
      <c r="A17" s="94" t="s">
        <v>338</v>
      </c>
      <c r="C17" s="94" t="s">
        <v>339</v>
      </c>
      <c r="E17" s="94" t="s">
        <v>340</v>
      </c>
      <c r="G17" s="94" t="s">
        <v>341</v>
      </c>
      <c r="I17" s="94" t="s">
        <v>342</v>
      </c>
      <c r="K17" s="161" t="s">
        <v>343</v>
      </c>
      <c r="L17" s="161"/>
      <c r="N17" s="94" t="s">
        <v>344</v>
      </c>
    </row>
    <row r="18" spans="1:14" x14ac:dyDescent="0.25">
      <c r="A18" s="1">
        <f>LOG(50,10)</f>
        <v>1.6989700043360185</v>
      </c>
      <c r="C18" s="1">
        <f>LOG10(100)</f>
        <v>2</v>
      </c>
      <c r="E18" s="1">
        <f>PI()</f>
        <v>3.1415926535897931</v>
      </c>
      <c r="G18" s="1">
        <f>EXP(12)</f>
        <v>162754.79141900392</v>
      </c>
      <c r="I18" s="1" t="str">
        <f ca="1">CELL("address",G2)</f>
        <v>$G$2</v>
      </c>
      <c r="K18" s="1" t="str">
        <f>CHOOSE(3,"RED","BLUE","ORANGE")</f>
        <v>ORANGE</v>
      </c>
      <c r="L18" s="1">
        <f>SEARCH("NGE",K18)</f>
        <v>4</v>
      </c>
      <c r="N18" s="1">
        <f>CODE("G")</f>
        <v>71</v>
      </c>
    </row>
    <row r="20" spans="1:14" x14ac:dyDescent="0.25">
      <c r="A20" s="94" t="s">
        <v>345</v>
      </c>
      <c r="C20" s="161" t="s">
        <v>347</v>
      </c>
      <c r="D20" s="161"/>
      <c r="F20" s="161" t="s">
        <v>348</v>
      </c>
      <c r="G20" s="161"/>
    </row>
    <row r="21" spans="1:14" x14ac:dyDescent="0.25">
      <c r="A21" s="1" t="str">
        <f>CHAR(71)</f>
        <v>G</v>
      </c>
      <c r="C21" s="1">
        <f>_xlfn.ISOWEEKNUM(6)</f>
        <v>1</v>
      </c>
      <c r="D21" s="1"/>
      <c r="F21" s="1">
        <f>IFERROR(10/0,0)</f>
        <v>0</v>
      </c>
      <c r="G21" s="1"/>
    </row>
  </sheetData>
  <sheetProtection formatCells="0" formatColumns="0" formatRows="0" insertColumns="0" insertRows="0" insertHyperlinks="0" deleteColumns="0" deleteRows="0" sort="0" autoFilter="0" pivotTables="0"/>
  <mergeCells count="14">
    <mergeCell ref="M1:N1"/>
    <mergeCell ref="A13:B13"/>
    <mergeCell ref="D13:E13"/>
    <mergeCell ref="G13:H13"/>
    <mergeCell ref="K17:L17"/>
    <mergeCell ref="A8:B8"/>
    <mergeCell ref="D8:E8"/>
    <mergeCell ref="K8:L8"/>
    <mergeCell ref="F20:G20"/>
    <mergeCell ref="A1:B1"/>
    <mergeCell ref="D1:E1"/>
    <mergeCell ref="G1:H1"/>
    <mergeCell ref="J1:K1"/>
    <mergeCell ref="C20:D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18"/>
  <sheetViews>
    <sheetView zoomScale="69" zoomScaleNormal="69" workbookViewId="0">
      <selection activeCell="G33" sqref="G33"/>
    </sheetView>
  </sheetViews>
  <sheetFormatPr defaultRowHeight="15" x14ac:dyDescent="0.25"/>
  <cols>
    <col min="2" max="2" width="15" bestFit="1" customWidth="1"/>
    <col min="3" max="3" width="9.85546875" customWidth="1"/>
    <col min="4" max="4" width="11.7109375" bestFit="1" customWidth="1"/>
    <col min="5" max="5" width="29.28515625" bestFit="1" customWidth="1"/>
    <col min="6" max="6" width="14.140625" bestFit="1" customWidth="1"/>
    <col min="7" max="7" width="24.28515625" bestFit="1" customWidth="1"/>
    <col min="8" max="8" width="15.28515625" bestFit="1" customWidth="1"/>
    <col min="9" max="9" width="19.140625" bestFit="1" customWidth="1"/>
    <col min="10" max="10" width="20" bestFit="1" customWidth="1"/>
    <col min="11" max="11" width="9.42578125" customWidth="1"/>
    <col min="12" max="12" width="10.42578125" customWidth="1"/>
    <col min="13" max="13" width="14.28515625" bestFit="1" customWidth="1"/>
  </cols>
  <sheetData>
    <row r="2" spans="2:13" x14ac:dyDescent="0.25">
      <c r="B2" s="2" t="s">
        <v>69</v>
      </c>
      <c r="C2" s="2" t="s">
        <v>70</v>
      </c>
      <c r="D2" s="2" t="s">
        <v>71</v>
      </c>
      <c r="E2" s="2" t="s">
        <v>72</v>
      </c>
      <c r="G2" s="8" t="s">
        <v>87</v>
      </c>
      <c r="H2" s="7">
        <f>YEAR(D6)</f>
        <v>2022</v>
      </c>
    </row>
    <row r="3" spans="2:13" x14ac:dyDescent="0.25">
      <c r="B3" s="4" t="s">
        <v>73</v>
      </c>
      <c r="C3" s="4">
        <v>40000</v>
      </c>
      <c r="D3" s="12">
        <v>43831</v>
      </c>
      <c r="E3" s="13" t="s">
        <v>81</v>
      </c>
      <c r="G3" s="9" t="s">
        <v>88</v>
      </c>
      <c r="H3" s="1">
        <f ca="1">DATEDIF(D3,TODAY(),"Y")</f>
        <v>6</v>
      </c>
    </row>
    <row r="4" spans="2:13" x14ac:dyDescent="0.25">
      <c r="B4" s="4" t="s">
        <v>74</v>
      </c>
      <c r="C4" s="4">
        <v>55000</v>
      </c>
      <c r="D4" s="4" t="s">
        <v>79</v>
      </c>
      <c r="E4" s="13" t="s">
        <v>82</v>
      </c>
      <c r="G4" s="9" t="s">
        <v>89</v>
      </c>
      <c r="H4" s="1">
        <f>FIND("@",E3)</f>
        <v>8</v>
      </c>
    </row>
    <row r="5" spans="2:13" x14ac:dyDescent="0.25">
      <c r="B5" s="4" t="s">
        <v>77</v>
      </c>
      <c r="C5" s="4">
        <v>60000</v>
      </c>
      <c r="D5" s="4" t="s">
        <v>78</v>
      </c>
      <c r="E5" s="13" t="s">
        <v>83</v>
      </c>
      <c r="G5" s="9" t="s">
        <v>90</v>
      </c>
      <c r="H5" s="1">
        <v>2.58</v>
      </c>
    </row>
    <row r="6" spans="2:13" x14ac:dyDescent="0.25">
      <c r="B6" s="4" t="s">
        <v>75</v>
      </c>
      <c r="C6" s="4">
        <v>45000</v>
      </c>
      <c r="D6" s="12">
        <v>44846</v>
      </c>
      <c r="E6" s="13" t="s">
        <v>84</v>
      </c>
      <c r="G6" s="9" t="s">
        <v>94</v>
      </c>
      <c r="H6" s="1">
        <f>ROUND(H5,0)</f>
        <v>3</v>
      </c>
    </row>
    <row r="7" spans="2:13" x14ac:dyDescent="0.25">
      <c r="B7" s="4" t="s">
        <v>76</v>
      </c>
      <c r="C7" s="4">
        <v>50000</v>
      </c>
      <c r="D7" s="4" t="s">
        <v>80</v>
      </c>
      <c r="E7" s="13" t="s">
        <v>85</v>
      </c>
      <c r="G7" s="9" t="s">
        <v>91</v>
      </c>
      <c r="H7" s="1">
        <f>ROUNDDOWN(H5,0)</f>
        <v>2</v>
      </c>
    </row>
    <row r="8" spans="2:13" x14ac:dyDescent="0.25">
      <c r="G8" s="9" t="s">
        <v>92</v>
      </c>
      <c r="H8" s="10">
        <f ca="1">TODAY()</f>
        <v>46042</v>
      </c>
    </row>
    <row r="9" spans="2:13" x14ac:dyDescent="0.25">
      <c r="G9" s="9" t="s">
        <v>93</v>
      </c>
      <c r="H9" s="11">
        <f ca="1">NOW()</f>
        <v>46042.647171296296</v>
      </c>
    </row>
    <row r="11" spans="2:13" ht="15.75" thickBot="1" x14ac:dyDescent="0.3"/>
    <row r="12" spans="2:13" x14ac:dyDescent="0.25">
      <c r="B12" s="148" t="s">
        <v>122</v>
      </c>
      <c r="C12" s="148"/>
      <c r="D12" s="148"/>
      <c r="E12" s="148"/>
      <c r="F12" s="148"/>
      <c r="G12" s="148"/>
      <c r="H12" s="148"/>
      <c r="I12" s="35" t="s">
        <v>155</v>
      </c>
      <c r="J12" s="35" t="s">
        <v>156</v>
      </c>
      <c r="K12" s="149" t="s">
        <v>157</v>
      </c>
      <c r="L12" s="149"/>
      <c r="M12" s="36" t="s">
        <v>154</v>
      </c>
    </row>
    <row r="13" spans="2:13" x14ac:dyDescent="0.25">
      <c r="B13" s="115" t="s">
        <v>160</v>
      </c>
      <c r="C13" s="116" t="s">
        <v>46</v>
      </c>
      <c r="D13" s="116" t="s">
        <v>47</v>
      </c>
      <c r="E13" s="116" t="s">
        <v>48</v>
      </c>
      <c r="F13" s="116" t="s">
        <v>49</v>
      </c>
      <c r="G13" s="116" t="s">
        <v>50</v>
      </c>
      <c r="H13" s="116" t="s">
        <v>150</v>
      </c>
      <c r="I13" s="14" t="s">
        <v>151</v>
      </c>
      <c r="J13" s="14" t="s">
        <v>159</v>
      </c>
      <c r="K13" s="14" t="s">
        <v>152</v>
      </c>
      <c r="L13" s="14" t="s">
        <v>153</v>
      </c>
      <c r="M13" s="37" t="s">
        <v>158</v>
      </c>
    </row>
    <row r="14" spans="2:13" x14ac:dyDescent="0.25">
      <c r="B14" s="38" t="s">
        <v>5</v>
      </c>
      <c r="C14" s="4">
        <v>77</v>
      </c>
      <c r="D14" s="4">
        <v>80</v>
      </c>
      <c r="E14" s="4">
        <v>78</v>
      </c>
      <c r="F14" s="4">
        <v>71</v>
      </c>
      <c r="G14" s="4">
        <v>80</v>
      </c>
      <c r="H14" s="4">
        <f>SUM(C14:G14)</f>
        <v>386</v>
      </c>
      <c r="I14" s="44" t="b">
        <f>D14=80</f>
        <v>1</v>
      </c>
      <c r="J14" s="44" t="b">
        <f>E14&gt;70</f>
        <v>1</v>
      </c>
      <c r="K14" s="44" t="b">
        <f>AND(I14,J14)</f>
        <v>1</v>
      </c>
      <c r="L14" s="44" t="b">
        <f>OR(I14,J14)</f>
        <v>1</v>
      </c>
      <c r="M14" s="47" t="str">
        <f>IF(H14&gt;370,"FIRST CLASS","SECOND CLASS")</f>
        <v>FIRST CLASS</v>
      </c>
    </row>
    <row r="15" spans="2:13" x14ac:dyDescent="0.25">
      <c r="B15" s="38" t="s">
        <v>53</v>
      </c>
      <c r="C15" s="4">
        <v>69</v>
      </c>
      <c r="D15" s="4">
        <v>75</v>
      </c>
      <c r="E15" s="4">
        <v>72</v>
      </c>
      <c r="F15" s="4">
        <v>77</v>
      </c>
      <c r="G15" s="4">
        <v>74</v>
      </c>
      <c r="H15" s="4">
        <f t="shared" ref="H15:H18" si="0">SUM(C15:G15)</f>
        <v>367</v>
      </c>
      <c r="I15" s="29" t="b">
        <f>D15=80</f>
        <v>0</v>
      </c>
      <c r="J15" s="44" t="b">
        <f t="shared" ref="J15:J18" si="1">E15&gt;70</f>
        <v>1</v>
      </c>
      <c r="K15" s="29" t="b">
        <f t="shared" ref="K15:K18" si="2">AND(I15,J15)</f>
        <v>0</v>
      </c>
      <c r="L15" s="44" t="b">
        <f t="shared" ref="L15:L18" si="3">OR(I15,J15)</f>
        <v>1</v>
      </c>
      <c r="M15" s="49" t="str">
        <f>IF(H15&gt;370,"FIRST CLASS","SECOND CLASS")</f>
        <v>SECOND CLASS</v>
      </c>
    </row>
    <row r="16" spans="2:13" x14ac:dyDescent="0.25">
      <c r="B16" s="38" t="s">
        <v>54</v>
      </c>
      <c r="C16" s="4">
        <v>73</v>
      </c>
      <c r="D16" s="4">
        <v>84</v>
      </c>
      <c r="E16" s="3">
        <v>80</v>
      </c>
      <c r="F16" s="4">
        <v>86</v>
      </c>
      <c r="G16" s="4">
        <v>70</v>
      </c>
      <c r="H16" s="4">
        <f t="shared" si="0"/>
        <v>393</v>
      </c>
      <c r="I16" s="29" t="b">
        <f>D16=80</f>
        <v>0</v>
      </c>
      <c r="J16" s="44" t="b">
        <f t="shared" si="1"/>
        <v>1</v>
      </c>
      <c r="K16" s="29" t="b">
        <f t="shared" si="2"/>
        <v>0</v>
      </c>
      <c r="L16" s="44" t="b">
        <f t="shared" si="3"/>
        <v>1</v>
      </c>
      <c r="M16" s="47" t="str">
        <f>IF(H16&gt;370,"FIRST CLASS","SECOND CLASS")</f>
        <v>FIRST CLASS</v>
      </c>
    </row>
    <row r="17" spans="2:13" x14ac:dyDescent="0.25">
      <c r="B17" s="38" t="s">
        <v>55</v>
      </c>
      <c r="C17" s="4">
        <v>70</v>
      </c>
      <c r="D17" s="4">
        <v>71</v>
      </c>
      <c r="E17" s="4">
        <v>79</v>
      </c>
      <c r="F17" s="4">
        <v>72</v>
      </c>
      <c r="G17" s="4">
        <v>79</v>
      </c>
      <c r="H17" s="4">
        <f t="shared" si="0"/>
        <v>371</v>
      </c>
      <c r="I17" s="29" t="b">
        <f>D17=80</f>
        <v>0</v>
      </c>
      <c r="J17" s="44" t="b">
        <f t="shared" si="1"/>
        <v>1</v>
      </c>
      <c r="K17" s="29" t="b">
        <f t="shared" si="2"/>
        <v>0</v>
      </c>
      <c r="L17" s="44" t="b">
        <f t="shared" si="3"/>
        <v>1</v>
      </c>
      <c r="M17" s="47" t="str">
        <f>IF(H17&gt;370,"FIRST CLASS","SECOND CLASS")</f>
        <v>FIRST CLASS</v>
      </c>
    </row>
    <row r="18" spans="2:13" ht="15.75" thickBot="1" x14ac:dyDescent="0.3">
      <c r="B18" s="40" t="s">
        <v>9</v>
      </c>
      <c r="C18" s="41">
        <v>79</v>
      </c>
      <c r="D18" s="41">
        <v>69</v>
      </c>
      <c r="E18" s="41">
        <v>72</v>
      </c>
      <c r="F18" s="41">
        <v>80</v>
      </c>
      <c r="G18" s="41">
        <v>82</v>
      </c>
      <c r="H18" s="41">
        <f t="shared" si="0"/>
        <v>382</v>
      </c>
      <c r="I18" s="45" t="b">
        <f>D18=80</f>
        <v>0</v>
      </c>
      <c r="J18" s="46" t="b">
        <f t="shared" si="1"/>
        <v>1</v>
      </c>
      <c r="K18" s="45" t="b">
        <f t="shared" si="2"/>
        <v>0</v>
      </c>
      <c r="L18" s="46" t="b">
        <f t="shared" si="3"/>
        <v>1</v>
      </c>
      <c r="M18" s="48" t="str">
        <f t="shared" ref="M18" si="4">IF(H18,"FIRST CLASS","SECOND CLASS")</f>
        <v>FIRST CLASS</v>
      </c>
    </row>
  </sheetData>
  <mergeCells count="2">
    <mergeCell ref="K12:L12"/>
    <mergeCell ref="B12:H12"/>
  </mergeCells>
  <hyperlinks>
    <hyperlink ref="E3" r:id="rId1"/>
    <hyperlink ref="E4" r:id="rId2"/>
    <hyperlink ref="E5" r:id="rId3"/>
    <hyperlink ref="E6" r:id="rId4"/>
    <hyperlink ref="E7" r:id="rId5"/>
  </hyperlinks>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30:K36"/>
  <sheetViews>
    <sheetView zoomScale="150" zoomScaleNormal="150" workbookViewId="0">
      <selection activeCell="G24" sqref="G24"/>
    </sheetView>
  </sheetViews>
  <sheetFormatPr defaultRowHeight="15" x14ac:dyDescent="0.25"/>
  <cols>
    <col min="8" max="11" width="11.140625" bestFit="1" customWidth="1"/>
    <col min="16" max="19" width="11.140625" bestFit="1" customWidth="1"/>
  </cols>
  <sheetData>
    <row r="30" spans="8:11" x14ac:dyDescent="0.25">
      <c r="H30" s="65" t="s">
        <v>276</v>
      </c>
      <c r="I30" s="65" t="s">
        <v>277</v>
      </c>
      <c r="J30" s="65" t="s">
        <v>62</v>
      </c>
      <c r="K30" s="65" t="s">
        <v>278</v>
      </c>
    </row>
    <row r="31" spans="8:11" x14ac:dyDescent="0.25">
      <c r="H31" s="73" t="s">
        <v>283</v>
      </c>
      <c r="I31" s="67" t="s">
        <v>283</v>
      </c>
      <c r="J31" s="58" t="s">
        <v>284</v>
      </c>
      <c r="K31" s="68" t="s">
        <v>285</v>
      </c>
    </row>
    <row r="32" spans="8:11" x14ac:dyDescent="0.25">
      <c r="H32" s="72">
        <v>45658</v>
      </c>
      <c r="I32" s="66" t="s">
        <v>218</v>
      </c>
      <c r="J32" s="1" t="s">
        <v>279</v>
      </c>
      <c r="K32" s="51">
        <v>120</v>
      </c>
    </row>
    <row r="33" spans="8:11" x14ac:dyDescent="0.25">
      <c r="H33" s="72">
        <v>45660</v>
      </c>
      <c r="I33" s="66" t="s">
        <v>219</v>
      </c>
      <c r="J33" s="1" t="s">
        <v>280</v>
      </c>
      <c r="K33" s="51">
        <v>200</v>
      </c>
    </row>
    <row r="34" spans="8:11" x14ac:dyDescent="0.25">
      <c r="H34" s="72">
        <v>45661</v>
      </c>
      <c r="I34" s="66" t="s">
        <v>218</v>
      </c>
      <c r="J34" s="1" t="s">
        <v>281</v>
      </c>
      <c r="K34" s="51">
        <v>150</v>
      </c>
    </row>
    <row r="35" spans="8:11" x14ac:dyDescent="0.25">
      <c r="H35" s="72">
        <v>45663</v>
      </c>
      <c r="I35" s="66" t="s">
        <v>220</v>
      </c>
      <c r="J35" s="1" t="s">
        <v>282</v>
      </c>
      <c r="K35" s="51">
        <v>300</v>
      </c>
    </row>
    <row r="36" spans="8:11" x14ac:dyDescent="0.25">
      <c r="H36" s="74">
        <v>45664</v>
      </c>
      <c r="I36" s="69" t="s">
        <v>219</v>
      </c>
      <c r="J36" s="70" t="s">
        <v>280</v>
      </c>
      <c r="K36" s="71">
        <v>500</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zoomScale="84" zoomScaleNormal="84" workbookViewId="0">
      <selection activeCell="H38" sqref="H38"/>
    </sheetView>
  </sheetViews>
  <sheetFormatPr defaultRowHeight="15" x14ac:dyDescent="0.25"/>
  <cols>
    <col min="1" max="1" width="13.140625" bestFit="1" customWidth="1"/>
    <col min="2" max="2" width="15.42578125" bestFit="1" customWidth="1"/>
  </cols>
  <sheetData>
    <row r="1" spans="1:12" x14ac:dyDescent="0.25">
      <c r="A1" s="166" t="s">
        <v>356</v>
      </c>
      <c r="B1" s="167"/>
      <c r="C1" s="167"/>
      <c r="D1" s="167"/>
      <c r="E1" s="167"/>
      <c r="F1" s="167"/>
      <c r="G1" s="167"/>
      <c r="H1" s="167"/>
      <c r="I1" s="167"/>
      <c r="J1" s="167"/>
      <c r="K1" s="167"/>
      <c r="L1" s="167"/>
    </row>
    <row r="3" spans="1:12" x14ac:dyDescent="0.25">
      <c r="A3" s="98" t="s">
        <v>307</v>
      </c>
      <c r="B3" s="98" t="s">
        <v>211</v>
      </c>
      <c r="C3" s="98" t="s">
        <v>165</v>
      </c>
      <c r="D3" s="98" t="s">
        <v>302</v>
      </c>
      <c r="E3" s="98" t="s">
        <v>355</v>
      </c>
      <c r="F3" t="s">
        <v>262</v>
      </c>
    </row>
    <row r="4" spans="1:12" x14ac:dyDescent="0.25">
      <c r="A4" s="100">
        <v>45658</v>
      </c>
      <c r="B4" s="4" t="s">
        <v>218</v>
      </c>
      <c r="C4" s="4" t="s">
        <v>279</v>
      </c>
      <c r="D4" s="4">
        <v>120</v>
      </c>
      <c r="E4" s="4">
        <v>10</v>
      </c>
    </row>
    <row r="5" spans="1:12" x14ac:dyDescent="0.25">
      <c r="A5" s="100">
        <v>45660</v>
      </c>
      <c r="B5" s="4" t="s">
        <v>219</v>
      </c>
      <c r="C5" s="4" t="s">
        <v>280</v>
      </c>
      <c r="D5" s="4">
        <v>200</v>
      </c>
      <c r="E5" s="4">
        <v>15</v>
      </c>
    </row>
    <row r="6" spans="1:12" x14ac:dyDescent="0.25">
      <c r="A6" s="100">
        <v>45661</v>
      </c>
      <c r="B6" s="4" t="s">
        <v>218</v>
      </c>
      <c r="C6" s="4" t="s">
        <v>279</v>
      </c>
      <c r="D6" s="4">
        <v>150</v>
      </c>
      <c r="E6" s="4">
        <v>12</v>
      </c>
    </row>
    <row r="7" spans="1:12" x14ac:dyDescent="0.25">
      <c r="A7" s="100">
        <v>45663</v>
      </c>
      <c r="B7" s="4" t="s">
        <v>220</v>
      </c>
      <c r="C7" s="4" t="s">
        <v>282</v>
      </c>
      <c r="D7" s="4">
        <v>300</v>
      </c>
      <c r="E7" s="4">
        <v>20</v>
      </c>
    </row>
    <row r="8" spans="1:12" x14ac:dyDescent="0.25">
      <c r="A8" s="100">
        <v>45664</v>
      </c>
      <c r="B8" s="4" t="s">
        <v>219</v>
      </c>
      <c r="C8" s="4" t="s">
        <v>280</v>
      </c>
      <c r="D8" s="4">
        <v>180</v>
      </c>
      <c r="E8" s="4">
        <v>14</v>
      </c>
    </row>
    <row r="11" spans="1:12" x14ac:dyDescent="0.25">
      <c r="A11" s="168" t="s">
        <v>357</v>
      </c>
      <c r="B11" s="168"/>
    </row>
    <row r="12" spans="1:12" x14ac:dyDescent="0.25">
      <c r="A12" s="88" t="s">
        <v>103</v>
      </c>
      <c r="B12" s="1" t="s">
        <v>309</v>
      </c>
    </row>
    <row r="13" spans="1:12" x14ac:dyDescent="0.25">
      <c r="A13" s="97" t="s">
        <v>218</v>
      </c>
      <c r="B13" s="60">
        <v>270</v>
      </c>
    </row>
    <row r="14" spans="1:12" x14ac:dyDescent="0.25">
      <c r="A14" s="97" t="s">
        <v>220</v>
      </c>
      <c r="B14" s="60">
        <v>300</v>
      </c>
    </row>
    <row r="15" spans="1:12" x14ac:dyDescent="0.25">
      <c r="A15" s="97" t="s">
        <v>219</v>
      </c>
      <c r="B15" s="60">
        <v>380</v>
      </c>
    </row>
    <row r="16" spans="1:12" x14ac:dyDescent="0.25">
      <c r="A16" s="97" t="s">
        <v>104</v>
      </c>
      <c r="B16" s="60">
        <v>950</v>
      </c>
    </row>
    <row r="19" spans="1:2" x14ac:dyDescent="0.25">
      <c r="A19" s="168" t="s">
        <v>359</v>
      </c>
      <c r="B19" s="168"/>
    </row>
    <row r="20" spans="1:2" x14ac:dyDescent="0.25">
      <c r="A20" s="88" t="s">
        <v>103</v>
      </c>
      <c r="B20" s="1" t="s">
        <v>309</v>
      </c>
    </row>
    <row r="21" spans="1:2" x14ac:dyDescent="0.25">
      <c r="A21" s="102" t="s">
        <v>358</v>
      </c>
      <c r="B21" s="60">
        <v>950</v>
      </c>
    </row>
    <row r="22" spans="1:2" x14ac:dyDescent="0.25">
      <c r="A22" s="102" t="s">
        <v>104</v>
      </c>
      <c r="B22" s="60">
        <v>950</v>
      </c>
    </row>
    <row r="25" spans="1:2" x14ac:dyDescent="0.25">
      <c r="A25" s="168" t="s">
        <v>360</v>
      </c>
      <c r="B25" s="168"/>
    </row>
    <row r="26" spans="1:2" x14ac:dyDescent="0.25">
      <c r="A26" s="88" t="s">
        <v>103</v>
      </c>
      <c r="B26" s="1" t="s">
        <v>309</v>
      </c>
    </row>
    <row r="27" spans="1:2" x14ac:dyDescent="0.25">
      <c r="A27" s="97" t="s">
        <v>280</v>
      </c>
      <c r="B27" s="60">
        <v>380</v>
      </c>
    </row>
    <row r="28" spans="1:2" x14ac:dyDescent="0.25">
      <c r="A28" s="97" t="s">
        <v>282</v>
      </c>
      <c r="B28" s="60">
        <v>300</v>
      </c>
    </row>
    <row r="29" spans="1:2" x14ac:dyDescent="0.25">
      <c r="A29" s="97" t="s">
        <v>279</v>
      </c>
      <c r="B29" s="60">
        <v>270</v>
      </c>
    </row>
    <row r="30" spans="1:2" x14ac:dyDescent="0.25">
      <c r="A30" s="97" t="s">
        <v>104</v>
      </c>
      <c r="B30" s="60">
        <v>950</v>
      </c>
    </row>
    <row r="33" spans="1:2" x14ac:dyDescent="0.25">
      <c r="A33" s="168" t="s">
        <v>362</v>
      </c>
      <c r="B33" s="168"/>
    </row>
    <row r="34" spans="1:2" x14ac:dyDescent="0.25">
      <c r="A34" s="88" t="s">
        <v>309</v>
      </c>
      <c r="B34" s="1" t="s">
        <v>361</v>
      </c>
    </row>
    <row r="35" spans="1:2" x14ac:dyDescent="0.25">
      <c r="A35" s="60">
        <v>950</v>
      </c>
      <c r="B35" s="60">
        <v>71</v>
      </c>
    </row>
  </sheetData>
  <mergeCells count="5">
    <mergeCell ref="A1:L1"/>
    <mergeCell ref="A11:B11"/>
    <mergeCell ref="A19:B19"/>
    <mergeCell ref="A25:B25"/>
    <mergeCell ref="A33:B33"/>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
  <sheetViews>
    <sheetView topLeftCell="A19" zoomScale="110" zoomScaleNormal="110" workbookViewId="0">
      <selection activeCell="F46" sqref="F46"/>
    </sheetView>
  </sheetViews>
  <sheetFormatPr defaultRowHeight="15" x14ac:dyDescent="0.25"/>
  <cols>
    <col min="1" max="1" width="16.7109375" customWidth="1"/>
    <col min="2" max="2" width="13.140625" customWidth="1"/>
    <col min="3" max="4" width="17.28515625" customWidth="1"/>
    <col min="5" max="5" width="13.140625" customWidth="1"/>
    <col min="6" max="6" width="17.28515625" bestFit="1" customWidth="1"/>
    <col min="7" max="7" width="16.7109375" customWidth="1"/>
    <col min="8" max="8" width="16.28515625" customWidth="1"/>
    <col min="9" max="9" width="15.5703125" bestFit="1" customWidth="1"/>
    <col min="10" max="10" width="10.28515625" customWidth="1"/>
    <col min="11" max="11" width="11.42578125" customWidth="1"/>
    <col min="12" max="12" width="11.42578125" bestFit="1" customWidth="1"/>
    <col min="14" max="14" width="16.7109375" bestFit="1" customWidth="1"/>
    <col min="15" max="15" width="22.28515625" bestFit="1" customWidth="1"/>
    <col min="16" max="16" width="16.7109375" bestFit="1" customWidth="1"/>
    <col min="17" max="17" width="17.28515625" bestFit="1" customWidth="1"/>
    <col min="18" max="18" width="11.42578125" bestFit="1" customWidth="1"/>
  </cols>
  <sheetData>
    <row r="1" spans="1:11" ht="23.25" customHeight="1" x14ac:dyDescent="0.25"/>
    <row r="2" spans="1:11" ht="30" x14ac:dyDescent="0.25">
      <c r="A2" s="103" t="s">
        <v>363</v>
      </c>
      <c r="B2" s="103" t="s">
        <v>307</v>
      </c>
      <c r="C2" s="103" t="s">
        <v>211</v>
      </c>
      <c r="D2" s="103" t="s">
        <v>364</v>
      </c>
      <c r="E2" s="103" t="s">
        <v>365</v>
      </c>
      <c r="F2" s="103" t="s">
        <v>366</v>
      </c>
      <c r="G2" s="103" t="s">
        <v>367</v>
      </c>
      <c r="H2" s="103" t="s">
        <v>368</v>
      </c>
      <c r="I2" s="103" t="s">
        <v>213</v>
      </c>
      <c r="J2" s="103" t="s">
        <v>369</v>
      </c>
      <c r="K2" s="103" t="s">
        <v>370</v>
      </c>
    </row>
    <row r="3" spans="1:11" ht="30" x14ac:dyDescent="0.25">
      <c r="A3" s="104">
        <v>1001</v>
      </c>
      <c r="B3" s="105">
        <v>45660</v>
      </c>
      <c r="C3" s="104" t="s">
        <v>221</v>
      </c>
      <c r="D3" s="104" t="s">
        <v>371</v>
      </c>
      <c r="E3" s="104" t="s">
        <v>372</v>
      </c>
      <c r="F3" s="104" t="s">
        <v>168</v>
      </c>
      <c r="G3" s="104">
        <v>5</v>
      </c>
      <c r="H3" s="104">
        <v>65000</v>
      </c>
      <c r="I3" s="104">
        <v>325000</v>
      </c>
      <c r="J3" s="106">
        <v>0.05</v>
      </c>
      <c r="K3" s="104">
        <v>52000</v>
      </c>
    </row>
    <row r="4" spans="1:11" ht="30" x14ac:dyDescent="0.25">
      <c r="A4" s="104">
        <v>1002</v>
      </c>
      <c r="B4" s="105">
        <v>45661</v>
      </c>
      <c r="C4" s="104" t="s">
        <v>220</v>
      </c>
      <c r="D4" s="104" t="s">
        <v>373</v>
      </c>
      <c r="E4" s="104" t="s">
        <v>374</v>
      </c>
      <c r="F4" s="104" t="s">
        <v>375</v>
      </c>
      <c r="G4" s="104">
        <v>10</v>
      </c>
      <c r="H4" s="104">
        <v>4500</v>
      </c>
      <c r="I4" s="104">
        <v>45000</v>
      </c>
      <c r="J4" s="106">
        <v>0.1</v>
      </c>
      <c r="K4" s="104">
        <v>8000</v>
      </c>
    </row>
    <row r="5" spans="1:11" ht="30" x14ac:dyDescent="0.25">
      <c r="A5" s="104">
        <v>1003</v>
      </c>
      <c r="B5" s="105">
        <v>45663</v>
      </c>
      <c r="C5" s="104" t="s">
        <v>218</v>
      </c>
      <c r="D5" s="104" t="s">
        <v>376</v>
      </c>
      <c r="E5" s="104" t="s">
        <v>377</v>
      </c>
      <c r="F5" s="104" t="s">
        <v>378</v>
      </c>
      <c r="G5" s="104">
        <v>200</v>
      </c>
      <c r="H5" s="104">
        <v>50</v>
      </c>
      <c r="I5" s="104">
        <v>10000</v>
      </c>
      <c r="J5" s="106">
        <v>0</v>
      </c>
      <c r="K5" s="104">
        <v>2500</v>
      </c>
    </row>
    <row r="6" spans="1:11" ht="30" x14ac:dyDescent="0.25">
      <c r="A6" s="104">
        <v>1004</v>
      </c>
      <c r="B6" s="105">
        <v>45664</v>
      </c>
      <c r="C6" s="104" t="s">
        <v>219</v>
      </c>
      <c r="D6" s="104" t="s">
        <v>379</v>
      </c>
      <c r="E6" s="104" t="s">
        <v>372</v>
      </c>
      <c r="F6" s="104" t="s">
        <v>380</v>
      </c>
      <c r="G6" s="104">
        <v>8</v>
      </c>
      <c r="H6" s="104">
        <v>35000</v>
      </c>
      <c r="I6" s="104">
        <v>280000</v>
      </c>
      <c r="J6" s="106">
        <v>0.08</v>
      </c>
      <c r="K6" s="104">
        <v>40000</v>
      </c>
    </row>
    <row r="7" spans="1:11" ht="30" x14ac:dyDescent="0.25">
      <c r="A7" s="104">
        <v>1005</v>
      </c>
      <c r="B7" s="105">
        <v>45667</v>
      </c>
      <c r="C7" s="104" t="s">
        <v>221</v>
      </c>
      <c r="D7" s="104" t="s">
        <v>371</v>
      </c>
      <c r="E7" s="104" t="s">
        <v>374</v>
      </c>
      <c r="F7" s="104" t="s">
        <v>381</v>
      </c>
      <c r="G7" s="104">
        <v>6</v>
      </c>
      <c r="H7" s="104">
        <v>12000</v>
      </c>
      <c r="I7" s="104">
        <v>72000</v>
      </c>
      <c r="J7" s="106">
        <v>0</v>
      </c>
      <c r="K7" s="104">
        <v>18000</v>
      </c>
    </row>
    <row r="8" spans="1:11" ht="30" x14ac:dyDescent="0.25">
      <c r="A8" s="104">
        <v>1006</v>
      </c>
      <c r="B8" s="105">
        <v>45669</v>
      </c>
      <c r="C8" s="104" t="s">
        <v>220</v>
      </c>
      <c r="D8" s="104" t="s">
        <v>373</v>
      </c>
      <c r="E8" s="104" t="s">
        <v>372</v>
      </c>
      <c r="F8" s="104" t="s">
        <v>382</v>
      </c>
      <c r="G8" s="104">
        <v>4</v>
      </c>
      <c r="H8" s="104">
        <v>22000</v>
      </c>
      <c r="I8" s="104">
        <v>88000</v>
      </c>
      <c r="J8" s="106">
        <v>0.05</v>
      </c>
      <c r="K8" s="104">
        <v>15000</v>
      </c>
    </row>
    <row r="9" spans="1:11" ht="30" x14ac:dyDescent="0.25">
      <c r="A9" s="104">
        <v>1007</v>
      </c>
      <c r="B9" s="105">
        <v>45672</v>
      </c>
      <c r="C9" s="104" t="s">
        <v>218</v>
      </c>
      <c r="D9" s="104" t="s">
        <v>376</v>
      </c>
      <c r="E9" s="104" t="s">
        <v>377</v>
      </c>
      <c r="F9" s="104" t="s">
        <v>383</v>
      </c>
      <c r="G9" s="104">
        <v>100</v>
      </c>
      <c r="H9" s="104">
        <v>80</v>
      </c>
      <c r="I9" s="104">
        <v>8000</v>
      </c>
      <c r="J9" s="106">
        <v>0</v>
      </c>
      <c r="K9" s="104">
        <v>2000</v>
      </c>
    </row>
    <row r="10" spans="1:11" ht="30" x14ac:dyDescent="0.25">
      <c r="A10" s="104">
        <v>1008</v>
      </c>
      <c r="B10" s="105">
        <v>45673</v>
      </c>
      <c r="C10" s="104" t="s">
        <v>219</v>
      </c>
      <c r="D10" s="104" t="s">
        <v>379</v>
      </c>
      <c r="E10" s="104" t="s">
        <v>374</v>
      </c>
      <c r="F10" s="104" t="s">
        <v>384</v>
      </c>
      <c r="G10" s="104">
        <v>3</v>
      </c>
      <c r="H10" s="104">
        <v>15000</v>
      </c>
      <c r="I10" s="104">
        <v>45000</v>
      </c>
      <c r="J10" s="106">
        <v>0.05</v>
      </c>
      <c r="K10" s="104">
        <v>7000</v>
      </c>
    </row>
    <row r="11" spans="1:11" ht="30" x14ac:dyDescent="0.25">
      <c r="A11" s="104">
        <v>1009</v>
      </c>
      <c r="B11" s="105">
        <v>45675</v>
      </c>
      <c r="C11" s="104" t="s">
        <v>221</v>
      </c>
      <c r="D11" s="104" t="s">
        <v>371</v>
      </c>
      <c r="E11" s="104" t="s">
        <v>372</v>
      </c>
      <c r="F11" s="104" t="s">
        <v>385</v>
      </c>
      <c r="G11" s="104">
        <v>10</v>
      </c>
      <c r="H11" s="104">
        <v>4000</v>
      </c>
      <c r="I11" s="104">
        <v>40000</v>
      </c>
      <c r="J11" s="106">
        <v>0</v>
      </c>
      <c r="K11" s="104">
        <v>8000</v>
      </c>
    </row>
    <row r="12" spans="1:11" ht="30" x14ac:dyDescent="0.25">
      <c r="A12" s="104">
        <v>1010</v>
      </c>
      <c r="B12" s="105">
        <v>45677</v>
      </c>
      <c r="C12" s="104" t="s">
        <v>220</v>
      </c>
      <c r="D12" s="104" t="s">
        <v>373</v>
      </c>
      <c r="E12" s="104" t="s">
        <v>377</v>
      </c>
      <c r="F12" s="104" t="s">
        <v>386</v>
      </c>
      <c r="G12" s="104">
        <v>150</v>
      </c>
      <c r="H12" s="104">
        <v>60</v>
      </c>
      <c r="I12" s="104">
        <v>9000</v>
      </c>
      <c r="J12" s="106">
        <v>0</v>
      </c>
      <c r="K12" s="104">
        <v>2000</v>
      </c>
    </row>
    <row r="13" spans="1:11" ht="30" x14ac:dyDescent="0.25">
      <c r="A13" s="104">
        <v>1011</v>
      </c>
      <c r="B13" s="105">
        <v>45678</v>
      </c>
      <c r="C13" s="104" t="s">
        <v>218</v>
      </c>
      <c r="D13" s="104" t="s">
        <v>376</v>
      </c>
      <c r="E13" s="104" t="s">
        <v>374</v>
      </c>
      <c r="F13" s="104" t="s">
        <v>387</v>
      </c>
      <c r="G13" s="104">
        <v>2</v>
      </c>
      <c r="H13" s="104">
        <v>55000</v>
      </c>
      <c r="I13" s="104">
        <v>110000</v>
      </c>
      <c r="J13" s="106">
        <v>0.1</v>
      </c>
      <c r="K13" s="104">
        <v>15000</v>
      </c>
    </row>
    <row r="14" spans="1:11" ht="30" x14ac:dyDescent="0.25">
      <c r="A14" s="104">
        <v>1012</v>
      </c>
      <c r="B14" s="105">
        <v>45679</v>
      </c>
      <c r="C14" s="104" t="s">
        <v>219</v>
      </c>
      <c r="D14" s="104" t="s">
        <v>379</v>
      </c>
      <c r="E14" s="104" t="s">
        <v>372</v>
      </c>
      <c r="F14" s="104" t="s">
        <v>388</v>
      </c>
      <c r="G14" s="104">
        <v>5</v>
      </c>
      <c r="H14" s="104">
        <v>15000</v>
      </c>
      <c r="I14" s="104">
        <v>75000</v>
      </c>
      <c r="J14" s="106">
        <v>0</v>
      </c>
      <c r="K14" s="104">
        <v>12000</v>
      </c>
    </row>
    <row r="15" spans="1:11" ht="30" x14ac:dyDescent="0.25">
      <c r="A15" s="104">
        <v>1013</v>
      </c>
      <c r="B15" s="105">
        <v>45682</v>
      </c>
      <c r="C15" s="104" t="s">
        <v>221</v>
      </c>
      <c r="D15" s="104" t="s">
        <v>371</v>
      </c>
      <c r="E15" s="104" t="s">
        <v>377</v>
      </c>
      <c r="F15" s="104" t="s">
        <v>389</v>
      </c>
      <c r="G15" s="104">
        <v>80</v>
      </c>
      <c r="H15" s="104">
        <v>100</v>
      </c>
      <c r="I15" s="104">
        <v>8000</v>
      </c>
      <c r="J15" s="106">
        <v>0</v>
      </c>
      <c r="K15" s="104">
        <v>2500</v>
      </c>
    </row>
    <row r="16" spans="1:11" ht="30" x14ac:dyDescent="0.25">
      <c r="A16" s="104">
        <v>1014</v>
      </c>
      <c r="B16" s="105">
        <v>45685</v>
      </c>
      <c r="C16" s="104" t="s">
        <v>220</v>
      </c>
      <c r="D16" s="104" t="s">
        <v>373</v>
      </c>
      <c r="E16" s="104" t="s">
        <v>374</v>
      </c>
      <c r="F16" s="104" t="s">
        <v>390</v>
      </c>
      <c r="G16" s="104">
        <v>1</v>
      </c>
      <c r="H16" s="104">
        <v>85000</v>
      </c>
      <c r="I16" s="104">
        <v>85000</v>
      </c>
      <c r="J16" s="106">
        <v>0.1</v>
      </c>
      <c r="K16" s="104">
        <v>12000</v>
      </c>
    </row>
    <row r="17" spans="1:11" ht="30" x14ac:dyDescent="0.25">
      <c r="A17" s="104">
        <v>1015</v>
      </c>
      <c r="B17" s="105">
        <v>45687</v>
      </c>
      <c r="C17" s="104" t="s">
        <v>218</v>
      </c>
      <c r="D17" s="104" t="s">
        <v>376</v>
      </c>
      <c r="E17" s="104" t="s">
        <v>372</v>
      </c>
      <c r="F17" s="104" t="s">
        <v>391</v>
      </c>
      <c r="G17" s="104">
        <v>3</v>
      </c>
      <c r="H17" s="104">
        <v>48000</v>
      </c>
      <c r="I17" s="104">
        <v>144000</v>
      </c>
      <c r="J17" s="106">
        <v>0.05</v>
      </c>
      <c r="K17" s="104">
        <v>25000</v>
      </c>
    </row>
    <row r="20" spans="1:11" x14ac:dyDescent="0.25">
      <c r="A20" s="3" t="s">
        <v>394</v>
      </c>
      <c r="B20" s="88" t="s">
        <v>103</v>
      </c>
      <c r="C20" s="1" t="s">
        <v>393</v>
      </c>
      <c r="F20" s="3" t="s">
        <v>395</v>
      </c>
      <c r="G20" s="88" t="s">
        <v>392</v>
      </c>
      <c r="H20" s="88" t="s">
        <v>308</v>
      </c>
      <c r="I20" s="1"/>
      <c r="J20" s="1"/>
      <c r="K20" s="1"/>
    </row>
    <row r="21" spans="1:11" x14ac:dyDescent="0.25">
      <c r="B21" s="97" t="s">
        <v>218</v>
      </c>
      <c r="C21" s="60">
        <v>272000</v>
      </c>
      <c r="G21" s="88" t="s">
        <v>103</v>
      </c>
      <c r="H21" s="1" t="s">
        <v>372</v>
      </c>
      <c r="I21" s="1" t="s">
        <v>374</v>
      </c>
      <c r="J21" s="1" t="s">
        <v>377</v>
      </c>
      <c r="K21" s="1" t="s">
        <v>104</v>
      </c>
    </row>
    <row r="22" spans="1:11" x14ac:dyDescent="0.25">
      <c r="B22" s="97" t="s">
        <v>221</v>
      </c>
      <c r="C22" s="60">
        <v>445000</v>
      </c>
      <c r="G22" s="97" t="s">
        <v>371</v>
      </c>
      <c r="H22" s="60">
        <v>15</v>
      </c>
      <c r="I22" s="60">
        <v>6</v>
      </c>
      <c r="J22" s="60">
        <v>80</v>
      </c>
      <c r="K22" s="60">
        <v>101</v>
      </c>
    </row>
    <row r="23" spans="1:11" x14ac:dyDescent="0.25">
      <c r="B23" s="97" t="s">
        <v>220</v>
      </c>
      <c r="C23" s="60">
        <v>227000</v>
      </c>
      <c r="G23" s="97" t="s">
        <v>373</v>
      </c>
      <c r="H23" s="60">
        <v>4</v>
      </c>
      <c r="I23" s="60">
        <v>11</v>
      </c>
      <c r="J23" s="60">
        <v>150</v>
      </c>
      <c r="K23" s="60">
        <v>165</v>
      </c>
    </row>
    <row r="24" spans="1:11" x14ac:dyDescent="0.25">
      <c r="B24" s="97" t="s">
        <v>219</v>
      </c>
      <c r="C24" s="60">
        <v>400000</v>
      </c>
      <c r="G24" s="97" t="s">
        <v>376</v>
      </c>
      <c r="H24" s="60">
        <v>3</v>
      </c>
      <c r="I24" s="60">
        <v>2</v>
      </c>
      <c r="J24" s="60">
        <v>300</v>
      </c>
      <c r="K24" s="60">
        <v>305</v>
      </c>
    </row>
    <row r="25" spans="1:11" x14ac:dyDescent="0.25">
      <c r="B25" s="97" t="s">
        <v>104</v>
      </c>
      <c r="C25" s="60">
        <v>1344000</v>
      </c>
      <c r="G25" s="97" t="s">
        <v>379</v>
      </c>
      <c r="H25" s="60">
        <v>13</v>
      </c>
      <c r="I25" s="60">
        <v>3</v>
      </c>
      <c r="J25" s="60">
        <v>0</v>
      </c>
      <c r="K25" s="60">
        <v>16</v>
      </c>
    </row>
    <row r="26" spans="1:11" x14ac:dyDescent="0.25">
      <c r="G26" s="97" t="s">
        <v>104</v>
      </c>
      <c r="H26" s="60">
        <v>35</v>
      </c>
      <c r="I26" s="60">
        <v>22</v>
      </c>
      <c r="J26" s="60">
        <v>530</v>
      </c>
      <c r="K26" s="60">
        <v>587</v>
      </c>
    </row>
    <row r="28" spans="1:11" x14ac:dyDescent="0.25">
      <c r="A28" s="3" t="s">
        <v>398</v>
      </c>
      <c r="B28" s="88" t="s">
        <v>103</v>
      </c>
      <c r="C28" s="1" t="s">
        <v>393</v>
      </c>
      <c r="D28" s="108" t="s">
        <v>399</v>
      </c>
      <c r="E28" s="88" t="s">
        <v>103</v>
      </c>
      <c r="F28" s="1" t="s">
        <v>396</v>
      </c>
      <c r="G28" s="109" t="s">
        <v>400</v>
      </c>
      <c r="H28" s="88" t="s">
        <v>103</v>
      </c>
      <c r="I28" s="1" t="s">
        <v>397</v>
      </c>
    </row>
    <row r="29" spans="1:11" x14ac:dyDescent="0.25">
      <c r="B29" s="107">
        <v>45660</v>
      </c>
      <c r="C29" s="60">
        <v>325000</v>
      </c>
      <c r="E29" s="97" t="s">
        <v>391</v>
      </c>
      <c r="F29" s="60">
        <v>25000</v>
      </c>
      <c r="H29" s="97" t="s">
        <v>218</v>
      </c>
      <c r="I29" s="60">
        <v>0.15000000000000002</v>
      </c>
    </row>
    <row r="30" spans="1:11" x14ac:dyDescent="0.25">
      <c r="B30" s="107">
        <v>45661</v>
      </c>
      <c r="C30" s="60">
        <v>45000</v>
      </c>
      <c r="E30" s="97" t="s">
        <v>381</v>
      </c>
      <c r="F30" s="60">
        <v>18000</v>
      </c>
      <c r="H30" s="97" t="s">
        <v>221</v>
      </c>
      <c r="I30" s="60">
        <v>0.05</v>
      </c>
    </row>
    <row r="31" spans="1:11" x14ac:dyDescent="0.25">
      <c r="B31" s="107">
        <v>45663</v>
      </c>
      <c r="C31" s="60">
        <v>10000</v>
      </c>
      <c r="E31" s="97" t="s">
        <v>168</v>
      </c>
      <c r="F31" s="60">
        <v>52000</v>
      </c>
      <c r="H31" s="97" t="s">
        <v>220</v>
      </c>
      <c r="I31" s="60">
        <v>0.25</v>
      </c>
    </row>
    <row r="32" spans="1:11" x14ac:dyDescent="0.25">
      <c r="B32" s="107">
        <v>45664</v>
      </c>
      <c r="C32" s="60">
        <v>280000</v>
      </c>
      <c r="E32" s="97" t="s">
        <v>380</v>
      </c>
      <c r="F32" s="60">
        <v>40000</v>
      </c>
      <c r="H32" s="97" t="s">
        <v>219</v>
      </c>
      <c r="I32" s="60">
        <v>0.13</v>
      </c>
    </row>
    <row r="33" spans="1:9" x14ac:dyDescent="0.25">
      <c r="B33" s="107">
        <v>45667</v>
      </c>
      <c r="C33" s="60">
        <v>72000</v>
      </c>
      <c r="E33" s="97" t="s">
        <v>387</v>
      </c>
      <c r="F33" s="60">
        <v>15000</v>
      </c>
      <c r="H33" s="97" t="s">
        <v>104</v>
      </c>
      <c r="I33" s="60">
        <v>0.58000000000000007</v>
      </c>
    </row>
    <row r="34" spans="1:9" x14ac:dyDescent="0.25">
      <c r="B34" s="107">
        <v>45669</v>
      </c>
      <c r="C34" s="60">
        <v>88000</v>
      </c>
      <c r="E34" s="97" t="s">
        <v>382</v>
      </c>
      <c r="F34" s="60">
        <v>15000</v>
      </c>
    </row>
    <row r="35" spans="1:9" x14ac:dyDescent="0.25">
      <c r="B35" s="107">
        <v>45672</v>
      </c>
      <c r="C35" s="60">
        <v>8000</v>
      </c>
      <c r="E35" s="97" t="s">
        <v>104</v>
      </c>
      <c r="F35" s="60">
        <v>165000</v>
      </c>
    </row>
    <row r="36" spans="1:9" x14ac:dyDescent="0.25">
      <c r="B36" s="107">
        <v>45673</v>
      </c>
      <c r="C36" s="60">
        <v>45000</v>
      </c>
    </row>
    <row r="37" spans="1:9" x14ac:dyDescent="0.25">
      <c r="B37" s="107">
        <v>45675</v>
      </c>
      <c r="C37" s="60">
        <v>40000</v>
      </c>
    </row>
    <row r="38" spans="1:9" x14ac:dyDescent="0.25">
      <c r="B38" s="107">
        <v>45677</v>
      </c>
      <c r="C38" s="60">
        <v>9000</v>
      </c>
      <c r="D38" s="3" t="s">
        <v>401</v>
      </c>
      <c r="E38" s="88" t="s">
        <v>103</v>
      </c>
      <c r="F38" s="1" t="s">
        <v>393</v>
      </c>
    </row>
    <row r="39" spans="1:9" x14ac:dyDescent="0.25">
      <c r="B39" s="107">
        <v>45678</v>
      </c>
      <c r="C39" s="60">
        <v>110000</v>
      </c>
      <c r="E39" s="97" t="s">
        <v>372</v>
      </c>
      <c r="F39" s="60">
        <v>952000</v>
      </c>
    </row>
    <row r="40" spans="1:9" x14ac:dyDescent="0.25">
      <c r="B40" s="107">
        <v>45679</v>
      </c>
      <c r="C40" s="60">
        <v>75000</v>
      </c>
      <c r="E40" s="97" t="s">
        <v>374</v>
      </c>
      <c r="F40" s="60">
        <v>357000</v>
      </c>
    </row>
    <row r="41" spans="1:9" x14ac:dyDescent="0.25">
      <c r="B41" s="107">
        <v>45682</v>
      </c>
      <c r="C41" s="60">
        <v>8000</v>
      </c>
      <c r="E41" s="97" t="s">
        <v>377</v>
      </c>
      <c r="F41" s="60">
        <v>35000</v>
      </c>
    </row>
    <row r="42" spans="1:9" x14ac:dyDescent="0.25">
      <c r="B42" s="107">
        <v>45685</v>
      </c>
      <c r="C42" s="60">
        <v>85000</v>
      </c>
      <c r="E42" s="97" t="s">
        <v>104</v>
      </c>
      <c r="F42" s="60">
        <v>1344000</v>
      </c>
    </row>
    <row r="43" spans="1:9" x14ac:dyDescent="0.25">
      <c r="B43" s="107">
        <v>45687</v>
      </c>
      <c r="C43" s="60">
        <v>144000</v>
      </c>
    </row>
    <row r="44" spans="1:9" x14ac:dyDescent="0.25">
      <c r="B44" s="107" t="s">
        <v>104</v>
      </c>
      <c r="C44" s="60">
        <v>1344000</v>
      </c>
    </row>
    <row r="47" spans="1:9" x14ac:dyDescent="0.25">
      <c r="A47" s="110" t="s">
        <v>402</v>
      </c>
    </row>
  </sheetData>
  <pageMargins left="0.7" right="0.7" top="0.75" bottom="0.75" header="0.3" footer="0.3"/>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25"/>
  <sheetViews>
    <sheetView zoomScale="150" zoomScaleNormal="150" workbookViewId="0">
      <selection activeCell="D4" sqref="D4"/>
    </sheetView>
  </sheetViews>
  <sheetFormatPr defaultRowHeight="15" x14ac:dyDescent="0.25"/>
  <cols>
    <col min="1" max="1" width="17.5703125" bestFit="1" customWidth="1"/>
    <col min="4" max="4" width="11.28515625" customWidth="1"/>
    <col min="7" max="7" width="11.7109375" bestFit="1" customWidth="1"/>
    <col min="8" max="8" width="9.7109375" customWidth="1"/>
    <col min="10" max="10" width="12.28515625" bestFit="1" customWidth="1"/>
  </cols>
  <sheetData>
    <row r="2" spans="1:12" x14ac:dyDescent="0.25">
      <c r="A2" s="112" t="s">
        <v>403</v>
      </c>
      <c r="B2" s="22"/>
      <c r="C2" s="167" t="s">
        <v>408</v>
      </c>
      <c r="D2" s="167"/>
      <c r="F2" s="167" t="s">
        <v>410</v>
      </c>
      <c r="G2" s="167"/>
      <c r="H2" s="167"/>
      <c r="J2" s="111" t="s">
        <v>404</v>
      </c>
      <c r="K2" s="1" t="s">
        <v>73</v>
      </c>
      <c r="L2" s="1" t="s">
        <v>413</v>
      </c>
    </row>
    <row r="3" spans="1:12" x14ac:dyDescent="0.25">
      <c r="A3" s="101" t="s">
        <v>73</v>
      </c>
      <c r="B3" s="111" t="s">
        <v>413</v>
      </c>
      <c r="C3" s="114" t="s">
        <v>409</v>
      </c>
      <c r="D3" s="113" t="s">
        <v>69</v>
      </c>
      <c r="F3" s="113" t="s">
        <v>210</v>
      </c>
      <c r="G3" s="114" t="s">
        <v>295</v>
      </c>
      <c r="H3" s="99" t="s">
        <v>411</v>
      </c>
      <c r="J3" s="1" t="s">
        <v>417</v>
      </c>
      <c r="K3" s="1" t="s">
        <v>75</v>
      </c>
      <c r="L3" s="1" t="s">
        <v>418</v>
      </c>
    </row>
    <row r="4" spans="1:12" x14ac:dyDescent="0.25">
      <c r="A4" s="101" t="s">
        <v>75</v>
      </c>
      <c r="B4" s="111" t="s">
        <v>163</v>
      </c>
      <c r="C4" s="101">
        <v>101</v>
      </c>
      <c r="D4" s="101" t="s">
        <v>73</v>
      </c>
      <c r="F4" s="101" t="s">
        <v>265</v>
      </c>
      <c r="G4" s="101" t="s">
        <v>416</v>
      </c>
      <c r="H4" s="101">
        <v>85</v>
      </c>
      <c r="J4" s="1" t="s">
        <v>405</v>
      </c>
      <c r="K4" s="1" t="s">
        <v>265</v>
      </c>
      <c r="L4" s="1" t="s">
        <v>163</v>
      </c>
    </row>
    <row r="5" spans="1:12" x14ac:dyDescent="0.25">
      <c r="A5" s="101" t="s">
        <v>265</v>
      </c>
      <c r="B5" s="111" t="s">
        <v>163</v>
      </c>
      <c r="C5" s="101">
        <v>102</v>
      </c>
      <c r="D5" s="101" t="s">
        <v>75</v>
      </c>
      <c r="F5" s="101" t="s">
        <v>266</v>
      </c>
      <c r="G5" s="101" t="s">
        <v>296</v>
      </c>
      <c r="H5" s="101">
        <v>102</v>
      </c>
      <c r="J5" s="1" t="s">
        <v>406</v>
      </c>
      <c r="K5" s="1" t="s">
        <v>266</v>
      </c>
      <c r="L5" s="1" t="s">
        <v>414</v>
      </c>
    </row>
    <row r="6" spans="1:12" x14ac:dyDescent="0.25">
      <c r="A6" s="101" t="s">
        <v>266</v>
      </c>
      <c r="B6" s="111" t="s">
        <v>414</v>
      </c>
      <c r="C6" s="101">
        <v>103</v>
      </c>
      <c r="D6" s="101" t="s">
        <v>265</v>
      </c>
      <c r="F6" s="101" t="s">
        <v>267</v>
      </c>
      <c r="G6" s="101" t="s">
        <v>297</v>
      </c>
      <c r="H6" s="101">
        <v>67</v>
      </c>
      <c r="J6" s="1" t="s">
        <v>407</v>
      </c>
      <c r="K6" s="1" t="s">
        <v>267</v>
      </c>
      <c r="L6" s="1" t="s">
        <v>415</v>
      </c>
    </row>
    <row r="7" spans="1:12" x14ac:dyDescent="0.25">
      <c r="A7" s="101" t="s">
        <v>267</v>
      </c>
      <c r="B7" s="111" t="s">
        <v>415</v>
      </c>
      <c r="C7" s="101">
        <v>104</v>
      </c>
      <c r="D7" s="101" t="s">
        <v>266</v>
      </c>
      <c r="F7" s="101" t="s">
        <v>268</v>
      </c>
      <c r="G7" s="101" t="s">
        <v>302</v>
      </c>
      <c r="H7" s="101">
        <v>45</v>
      </c>
    </row>
    <row r="8" spans="1:12" x14ac:dyDescent="0.25">
      <c r="C8" s="101">
        <v>105</v>
      </c>
      <c r="D8" s="101" t="s">
        <v>267</v>
      </c>
      <c r="F8" s="101" t="s">
        <v>75</v>
      </c>
      <c r="G8" s="101" t="s">
        <v>412</v>
      </c>
      <c r="H8" s="101">
        <v>150</v>
      </c>
    </row>
    <row r="9" spans="1:12" x14ac:dyDescent="0.25">
      <c r="C9" s="101">
        <v>102</v>
      </c>
      <c r="D9" s="101" t="s">
        <v>75</v>
      </c>
    </row>
    <row r="10" spans="1:12" x14ac:dyDescent="0.25">
      <c r="C10" s="101">
        <v>103</v>
      </c>
      <c r="D10" s="101" t="s">
        <v>265</v>
      </c>
    </row>
    <row r="13" spans="1:12" x14ac:dyDescent="0.25">
      <c r="A13" s="167" t="s">
        <v>419</v>
      </c>
      <c r="B13" s="167"/>
    </row>
    <row r="14" spans="1:12" x14ac:dyDescent="0.25">
      <c r="A14" s="117" t="s">
        <v>420</v>
      </c>
      <c r="B14" s="117" t="s">
        <v>302</v>
      </c>
    </row>
    <row r="15" spans="1:12" x14ac:dyDescent="0.25">
      <c r="A15" s="111">
        <v>2015</v>
      </c>
      <c r="B15" s="111">
        <v>1200</v>
      </c>
    </row>
    <row r="16" spans="1:12" x14ac:dyDescent="0.25">
      <c r="A16" s="111">
        <v>2016</v>
      </c>
      <c r="B16" s="111">
        <v>1320</v>
      </c>
    </row>
    <row r="17" spans="1:2" x14ac:dyDescent="0.25">
      <c r="A17" s="111">
        <v>2017</v>
      </c>
      <c r="B17" s="111">
        <v>1480</v>
      </c>
    </row>
    <row r="18" spans="1:2" x14ac:dyDescent="0.25">
      <c r="A18" s="111">
        <v>2018</v>
      </c>
      <c r="B18" s="111">
        <v>1600</v>
      </c>
    </row>
    <row r="19" spans="1:2" x14ac:dyDescent="0.25">
      <c r="A19" s="111">
        <v>2019</v>
      </c>
      <c r="B19" s="111">
        <v>1750</v>
      </c>
    </row>
    <row r="20" spans="1:2" x14ac:dyDescent="0.25">
      <c r="A20" s="111">
        <v>2020</v>
      </c>
      <c r="B20" s="111">
        <v>1900</v>
      </c>
    </row>
    <row r="21" spans="1:2" x14ac:dyDescent="0.25">
      <c r="A21" s="111">
        <v>2021</v>
      </c>
      <c r="B21" s="111">
        <v>2050</v>
      </c>
    </row>
    <row r="22" spans="1:2" x14ac:dyDescent="0.25">
      <c r="A22" s="111">
        <v>2022</v>
      </c>
      <c r="B22" s="111">
        <v>2230</v>
      </c>
    </row>
    <row r="23" spans="1:2" x14ac:dyDescent="0.25">
      <c r="A23" s="111">
        <v>2023</v>
      </c>
      <c r="B23" s="111">
        <v>2400</v>
      </c>
    </row>
    <row r="24" spans="1:2" x14ac:dyDescent="0.25">
      <c r="A24" s="111">
        <v>2024</v>
      </c>
      <c r="B24" s="111">
        <v>2600</v>
      </c>
    </row>
    <row r="25" spans="1:2" x14ac:dyDescent="0.25">
      <c r="A25" s="111">
        <v>2025</v>
      </c>
      <c r="B25" s="111">
        <v>2800</v>
      </c>
    </row>
  </sheetData>
  <dataConsolidate/>
  <mergeCells count="3">
    <mergeCell ref="C2:D2"/>
    <mergeCell ref="F2:H2"/>
    <mergeCell ref="A13:B13"/>
  </mergeCells>
  <dataValidations count="1">
    <dataValidation type="list" allowBlank="1" showInputMessage="1" showErrorMessage="1" sqref="F4:H8">
      <formula1>"IT,MANAGER,HR"</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5"/>
  <sheetViews>
    <sheetView zoomScale="140" zoomScaleNormal="140" workbookViewId="0">
      <selection activeCell="B6" sqref="B6"/>
    </sheetView>
  </sheetViews>
  <sheetFormatPr defaultRowHeight="15" x14ac:dyDescent="0.25"/>
  <cols>
    <col min="4" max="4" width="11" bestFit="1" customWidth="1"/>
    <col min="6" max="6" width="11" bestFit="1" customWidth="1"/>
  </cols>
  <sheetData>
    <row r="2" spans="2:12" x14ac:dyDescent="0.25">
      <c r="B2" s="19" t="s">
        <v>97</v>
      </c>
      <c r="D2" s="6" t="s">
        <v>98</v>
      </c>
      <c r="F2" s="6" t="s">
        <v>99</v>
      </c>
      <c r="H2" s="6" t="s">
        <v>100</v>
      </c>
      <c r="J2" s="6" t="s">
        <v>101</v>
      </c>
      <c r="L2" t="s">
        <v>102</v>
      </c>
    </row>
    <row r="3" spans="2:12" x14ac:dyDescent="0.25">
      <c r="B3" s="17">
        <f>PMT(17%/12,2*12,5400)</f>
        <v>-266.9882260616817</v>
      </c>
      <c r="D3" s="17">
        <f>FV(1.5%/12,3*12,0,8500)</f>
        <v>-8890.9869548926872</v>
      </c>
      <c r="F3" s="17">
        <f>PV(1.5%/12,3*12,-175,8500)</f>
        <v>-1969.615567300662</v>
      </c>
      <c r="H3">
        <f>NPER(5%/12,-250,10000)</f>
        <v>43.848271234390815</v>
      </c>
      <c r="J3" s="18"/>
    </row>
    <row r="5" spans="2:12" x14ac:dyDescent="0.25">
      <c r="B5" s="17">
        <f>PMT(5%/12,12*30,180000)</f>
        <v>-966.27892142185033</v>
      </c>
      <c r="D5" s="17">
        <f>FV(1.5%/12,10,-200,-500)</f>
        <v>2517.572855848628</v>
      </c>
      <c r="F5" s="1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15"/>
  <sheetViews>
    <sheetView workbookViewId="0">
      <selection activeCell="O15" sqref="O15"/>
    </sheetView>
  </sheetViews>
  <sheetFormatPr defaultRowHeight="15" x14ac:dyDescent="0.25"/>
  <sheetData>
    <row r="2" spans="1:15" x14ac:dyDescent="0.25">
      <c r="A2" t="s">
        <v>421</v>
      </c>
      <c r="B2" t="s">
        <v>422</v>
      </c>
      <c r="C2" t="s">
        <v>423</v>
      </c>
      <c r="E2" s="169" t="s">
        <v>424</v>
      </c>
      <c r="F2" s="169"/>
      <c r="G2" s="169"/>
      <c r="H2">
        <f>CORREL(B3:B12,C3:C12)</f>
        <v>-0.17986891386417234</v>
      </c>
    </row>
    <row r="3" spans="1:15" x14ac:dyDescent="0.25">
      <c r="A3">
        <v>1</v>
      </c>
      <c r="B3">
        <v>74.97</v>
      </c>
      <c r="C3">
        <v>86.79</v>
      </c>
      <c r="E3" s="169" t="s">
        <v>425</v>
      </c>
      <c r="F3" s="169"/>
      <c r="G3" s="169"/>
      <c r="H3">
        <f>SLOPE(B3:B12,C3:C12)</f>
        <v>-0.24194807954187705</v>
      </c>
    </row>
    <row r="4" spans="1:15" x14ac:dyDescent="0.25">
      <c r="A4">
        <v>2</v>
      </c>
      <c r="B4">
        <v>68.62</v>
      </c>
      <c r="C4">
        <v>73.180000000000007</v>
      </c>
      <c r="E4" s="169" t="s">
        <v>426</v>
      </c>
      <c r="F4" s="169"/>
      <c r="G4" s="169"/>
      <c r="H4">
        <f>INTERCEPT(B3:B12,A3:A12)</f>
        <v>75.057333333333318</v>
      </c>
    </row>
    <row r="5" spans="1:15" x14ac:dyDescent="0.25">
      <c r="A5">
        <v>3</v>
      </c>
      <c r="B5">
        <v>76.459999999999994</v>
      </c>
      <c r="C5">
        <v>75.540000000000006</v>
      </c>
      <c r="E5" s="169" t="s">
        <v>427</v>
      </c>
      <c r="F5" s="169"/>
      <c r="G5" s="169"/>
      <c r="H5">
        <f>RSQ(B3:B12,A3:A12)</f>
        <v>7.0384070797397541E-4</v>
      </c>
    </row>
    <row r="6" spans="1:15" x14ac:dyDescent="0.25">
      <c r="A6">
        <v>4</v>
      </c>
      <c r="B6">
        <v>86.29</v>
      </c>
      <c r="C6">
        <v>69.599999999999994</v>
      </c>
      <c r="E6" s="169" t="s">
        <v>428</v>
      </c>
      <c r="F6" s="169"/>
      <c r="G6" s="169"/>
    </row>
    <row r="7" spans="1:15" x14ac:dyDescent="0.25">
      <c r="A7">
        <v>5</v>
      </c>
      <c r="B7">
        <v>67.66</v>
      </c>
      <c r="C7">
        <v>70.64</v>
      </c>
    </row>
    <row r="8" spans="1:15" x14ac:dyDescent="0.25">
      <c r="A8">
        <v>6</v>
      </c>
      <c r="B8">
        <v>67.66</v>
      </c>
      <c r="C8">
        <v>75.89</v>
      </c>
    </row>
    <row r="9" spans="1:15" x14ac:dyDescent="0.25">
      <c r="A9">
        <v>7</v>
      </c>
      <c r="B9">
        <v>86.79</v>
      </c>
      <c r="C9">
        <v>66.790000000000006</v>
      </c>
    </row>
    <row r="10" spans="1:15" x14ac:dyDescent="0.25">
      <c r="A10">
        <v>8</v>
      </c>
      <c r="B10">
        <v>77.67</v>
      </c>
      <c r="C10">
        <v>78</v>
      </c>
    </row>
    <row r="11" spans="1:15" x14ac:dyDescent="0.25">
      <c r="A11">
        <v>9</v>
      </c>
      <c r="B11">
        <v>65.319999999999993</v>
      </c>
      <c r="C11">
        <v>70.09</v>
      </c>
    </row>
    <row r="12" spans="1:15" x14ac:dyDescent="0.25">
      <c r="A12">
        <v>10</v>
      </c>
      <c r="B12">
        <v>75.48</v>
      </c>
      <c r="C12">
        <v>72.67</v>
      </c>
    </row>
    <row r="15" spans="1:15" x14ac:dyDescent="0.25">
      <c r="O15" t="s">
        <v>262</v>
      </c>
    </row>
  </sheetData>
  <mergeCells count="5">
    <mergeCell ref="E2:G2"/>
    <mergeCell ref="E3:G3"/>
    <mergeCell ref="E4:G4"/>
    <mergeCell ref="E5:G5"/>
    <mergeCell ref="E6: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workbookViewId="0">
      <selection activeCell="A16" sqref="A16"/>
    </sheetView>
  </sheetViews>
  <sheetFormatPr defaultRowHeight="15" x14ac:dyDescent="0.25"/>
  <cols>
    <col min="5" max="5" width="10.5703125" customWidth="1"/>
    <col min="6" max="6" width="11.7109375" customWidth="1"/>
  </cols>
  <sheetData>
    <row r="1" spans="1:6" x14ac:dyDescent="0.25">
      <c r="A1" s="122" t="s">
        <v>429</v>
      </c>
      <c r="B1" s="123" t="s">
        <v>430</v>
      </c>
      <c r="C1" s="123" t="s">
        <v>431</v>
      </c>
      <c r="D1" s="123" t="s">
        <v>432</v>
      </c>
      <c r="E1" s="123" t="s">
        <v>433</v>
      </c>
      <c r="F1" s="124" t="s">
        <v>434</v>
      </c>
    </row>
    <row r="2" spans="1:6" x14ac:dyDescent="0.25">
      <c r="A2" s="120" t="s">
        <v>435</v>
      </c>
      <c r="B2" s="119" t="s">
        <v>444</v>
      </c>
      <c r="C2" s="119">
        <v>45000</v>
      </c>
      <c r="D2" s="119">
        <v>12000</v>
      </c>
      <c r="E2" s="119">
        <v>57000</v>
      </c>
      <c r="F2" s="121">
        <v>200</v>
      </c>
    </row>
    <row r="3" spans="1:6" x14ac:dyDescent="0.25">
      <c r="A3" s="120" t="s">
        <v>436</v>
      </c>
      <c r="B3" s="119" t="s">
        <v>445</v>
      </c>
      <c r="C3" s="119">
        <v>38000</v>
      </c>
      <c r="D3" s="119">
        <v>9500</v>
      </c>
      <c r="E3" s="119">
        <v>47500</v>
      </c>
      <c r="F3" s="121">
        <v>180</v>
      </c>
    </row>
    <row r="4" spans="1:6" x14ac:dyDescent="0.25">
      <c r="A4" s="120" t="s">
        <v>437</v>
      </c>
      <c r="B4" s="119" t="s">
        <v>446</v>
      </c>
      <c r="C4" s="119">
        <v>50000</v>
      </c>
      <c r="D4" s="119">
        <v>15000</v>
      </c>
      <c r="E4" s="119">
        <v>65000</v>
      </c>
      <c r="F4" s="121">
        <v>240</v>
      </c>
    </row>
    <row r="5" spans="1:6" x14ac:dyDescent="0.25">
      <c r="A5" s="120" t="s">
        <v>438</v>
      </c>
      <c r="B5" s="119" t="s">
        <v>447</v>
      </c>
      <c r="C5" s="119">
        <v>42000</v>
      </c>
      <c r="D5" s="119">
        <v>11000</v>
      </c>
      <c r="E5" s="119">
        <v>53000</v>
      </c>
      <c r="F5" s="121">
        <v>210</v>
      </c>
    </row>
    <row r="6" spans="1:6" x14ac:dyDescent="0.25">
      <c r="A6" s="120" t="s">
        <v>439</v>
      </c>
      <c r="B6" s="119" t="s">
        <v>444</v>
      </c>
      <c r="C6" s="119">
        <v>55000</v>
      </c>
      <c r="D6" s="119">
        <v>16000</v>
      </c>
      <c r="E6" s="119">
        <v>71000</v>
      </c>
      <c r="F6" s="121">
        <v>260</v>
      </c>
    </row>
    <row r="7" spans="1:6" x14ac:dyDescent="0.25">
      <c r="A7" s="120" t="s">
        <v>440</v>
      </c>
      <c r="B7" s="119" t="s">
        <v>445</v>
      </c>
      <c r="C7" s="119">
        <v>60000</v>
      </c>
      <c r="D7" s="119">
        <v>18000</v>
      </c>
      <c r="E7" s="119">
        <v>78000</v>
      </c>
      <c r="F7" s="121">
        <v>270</v>
      </c>
    </row>
    <row r="8" spans="1:6" x14ac:dyDescent="0.25">
      <c r="A8" s="120" t="s">
        <v>441</v>
      </c>
      <c r="B8" s="119" t="s">
        <v>446</v>
      </c>
      <c r="C8" s="119">
        <v>52000</v>
      </c>
      <c r="D8" s="119">
        <v>14000</v>
      </c>
      <c r="E8" s="119">
        <v>66000</v>
      </c>
      <c r="F8" s="121">
        <v>250</v>
      </c>
    </row>
    <row r="9" spans="1:6" x14ac:dyDescent="0.25">
      <c r="A9" s="120" t="s">
        <v>442</v>
      </c>
      <c r="B9" s="119" t="s">
        <v>447</v>
      </c>
      <c r="C9" s="119">
        <v>48000</v>
      </c>
      <c r="D9" s="119">
        <v>13000</v>
      </c>
      <c r="E9" s="119">
        <v>61000</v>
      </c>
      <c r="F9" s="121">
        <v>230</v>
      </c>
    </row>
    <row r="10" spans="1:6" x14ac:dyDescent="0.25">
      <c r="A10" s="120" t="s">
        <v>443</v>
      </c>
      <c r="B10" s="119" t="s">
        <v>444</v>
      </c>
      <c r="C10" s="119">
        <v>62000</v>
      </c>
      <c r="D10" s="119">
        <v>19000</v>
      </c>
      <c r="E10" s="119">
        <v>81000</v>
      </c>
      <c r="F10" s="121">
        <v>280</v>
      </c>
    </row>
    <row r="11" spans="1:6" x14ac:dyDescent="0.25">
      <c r="A11" s="120" t="s">
        <v>448</v>
      </c>
      <c r="B11" s="119" t="s">
        <v>445</v>
      </c>
      <c r="C11" s="119">
        <v>65000</v>
      </c>
      <c r="D11" s="119">
        <v>20000</v>
      </c>
      <c r="E11" s="119">
        <v>85000</v>
      </c>
      <c r="F11" s="121">
        <v>290</v>
      </c>
    </row>
    <row r="12" spans="1:6" x14ac:dyDescent="0.25">
      <c r="A12" s="120" t="s">
        <v>449</v>
      </c>
      <c r="B12" s="119" t="s">
        <v>446</v>
      </c>
      <c r="C12" s="119">
        <v>58000</v>
      </c>
      <c r="D12" s="119">
        <v>17000</v>
      </c>
      <c r="E12" s="119">
        <v>75000</v>
      </c>
      <c r="F12" s="121">
        <v>260</v>
      </c>
    </row>
    <row r="13" spans="1:6" x14ac:dyDescent="0.25">
      <c r="A13" s="125" t="s">
        <v>450</v>
      </c>
      <c r="B13" s="126" t="s">
        <v>447</v>
      </c>
      <c r="C13" s="126">
        <v>70000</v>
      </c>
      <c r="D13" s="126">
        <v>21000</v>
      </c>
      <c r="E13" s="126">
        <v>91000</v>
      </c>
      <c r="F13" s="127">
        <v>300</v>
      </c>
    </row>
  </sheetData>
  <pageMargins left="0.7" right="0.7" top="0.75" bottom="0.75" header="0.3" footer="0.3"/>
  <drawing r:id="rId1"/>
  <tableParts count="1">
    <tablePart r:id="rId2"/>
  </tableParts>
  <extLst>
    <ext xmlns:x14="http://schemas.microsoft.com/office/spreadsheetml/2009/9/main" uri="{05C60535-1F16-4fd2-B633-F4F36F0B64E0}">
      <x14:sparklineGroups xmlns:xm="http://schemas.microsoft.com/office/excel/2006/main">
        <x14:sparklineGroup displayEmptyCellsAs="gap">
          <x14:colorSeries rgb="FF000000"/>
          <x14:colorNegative rgb="FF0070C0"/>
          <x14:colorAxis rgb="FF000000"/>
          <x14:colorMarkers rgb="FF0070C0"/>
          <x14:colorFirst rgb="FF0070C0"/>
          <x14:colorLast rgb="FF0070C0"/>
          <x14:colorHigh rgb="FF0070C0"/>
          <x14:colorLow rgb="FF0070C0"/>
          <x14:sparklines>
            <x14:sparkline>
              <xm:f>'dynamic and advance set'!C2:C13</xm:f>
              <xm:sqref>G2</xm:sqref>
            </x14:sparkline>
          </x14:sparklines>
        </x14:sparklineGroup>
        <x14:sparklineGroup type="column" displayEmptyCellsAs="gap" high="1">
          <x14:colorSeries theme="1" tint="0.34998626667073579"/>
          <x14:colorNegative theme="0" tint="-0.249977111117893"/>
          <x14:colorAxis rgb="FF000000"/>
          <x14:colorMarkers theme="0" tint="-0.249977111117893"/>
          <x14:colorFirst theme="0" tint="-0.249977111117893"/>
          <x14:colorLast theme="0" tint="-0.249977111117893"/>
          <x14:colorHigh theme="5" tint="0.39997558519241921"/>
          <x14:colorLow theme="0" tint="-0.249977111117893"/>
          <x14:sparklines>
            <x14:sparkline>
              <xm:f>'dynamic and advance set'!D2:D13</xm:f>
              <xm:sqref>G3</xm:sqref>
            </x14:sparkline>
          </x14:sparklines>
        </x14:sparklineGroup>
        <x14:sparklineGroup type="stacked" displayEmptyCellsAs="gap" negative="1">
          <x14:colorSeries rgb="FF376092"/>
          <x14:colorNegative rgb="FFD00000"/>
          <x14:colorAxis rgb="FF000000"/>
          <x14:colorMarkers rgb="FFD00000"/>
          <x14:colorFirst rgb="FFD00000"/>
          <x14:colorLast rgb="FFD00000"/>
          <x14:colorHigh rgb="FFD00000"/>
          <x14:colorLow rgb="FFD00000"/>
          <x14:sparklines>
            <x14:sparkline>
              <xm:f>'dynamic and advance set'!E2:E13</xm:f>
              <xm:sqref>G4</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'dynamic and advance set'!F2:F13</xm:f>
              <xm:sqref>G5</xm:sqref>
            </x14:sparkline>
          </x14:sparklines>
        </x14:sparklineGroup>
      </x14:sparklineGroup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B1:E12"/>
  <sheetViews>
    <sheetView showGridLines="0" workbookViewId="0">
      <selection activeCell="N37" sqref="N37"/>
    </sheetView>
  </sheetViews>
  <sheetFormatPr defaultRowHeight="15" outlineLevelRow="1" outlineLevelCol="1" x14ac:dyDescent="0.25"/>
  <cols>
    <col min="3" max="3" width="6.140625" customWidth="1"/>
    <col min="4" max="5" width="13.140625" bestFit="1" customWidth="1" outlineLevel="1"/>
  </cols>
  <sheetData>
    <row r="1" spans="2:5" ht="15.75" thickBot="1" x14ac:dyDescent="0.3"/>
    <row r="2" spans="2:5" ht="15.75" x14ac:dyDescent="0.25">
      <c r="B2" s="133" t="s">
        <v>468</v>
      </c>
      <c r="C2" s="133"/>
      <c r="D2" s="138"/>
      <c r="E2" s="138"/>
    </row>
    <row r="3" spans="2:5" ht="15.75" collapsed="1" x14ac:dyDescent="0.25">
      <c r="B3" s="132"/>
      <c r="C3" s="132"/>
      <c r="D3" s="139" t="s">
        <v>470</v>
      </c>
      <c r="E3" s="139" t="s">
        <v>466</v>
      </c>
    </row>
    <row r="4" spans="2:5" ht="22.5" hidden="1" outlineLevel="1" x14ac:dyDescent="0.25">
      <c r="B4" s="135"/>
      <c r="C4" s="135"/>
      <c r="D4" s="130"/>
      <c r="E4" s="141" t="s">
        <v>467</v>
      </c>
    </row>
    <row r="5" spans="2:5" x14ac:dyDescent="0.25">
      <c r="B5" s="136" t="s">
        <v>469</v>
      </c>
      <c r="C5" s="136"/>
      <c r="D5" s="134"/>
      <c r="E5" s="134"/>
    </row>
    <row r="6" spans="2:5" outlineLevel="1" x14ac:dyDescent="0.25">
      <c r="B6" s="135"/>
      <c r="C6" s="135" t="s">
        <v>463</v>
      </c>
      <c r="D6" s="130">
        <v>2500</v>
      </c>
      <c r="E6" s="140">
        <v>2500</v>
      </c>
    </row>
    <row r="7" spans="2:5" x14ac:dyDescent="0.25">
      <c r="B7" s="136" t="s">
        <v>471</v>
      </c>
      <c r="C7" s="136"/>
      <c r="D7" s="134"/>
      <c r="E7" s="134"/>
    </row>
    <row r="8" spans="2:5" outlineLevel="1" x14ac:dyDescent="0.25">
      <c r="B8" s="135"/>
      <c r="C8" s="135" t="s">
        <v>464</v>
      </c>
      <c r="D8" s="130">
        <v>56391.184500000003</v>
      </c>
      <c r="E8" s="130">
        <v>56391.184500000003</v>
      </c>
    </row>
    <row r="9" spans="2:5" ht="15.75" outlineLevel="1" thickBot="1" x14ac:dyDescent="0.3">
      <c r="B9" s="137"/>
      <c r="C9" s="137" t="s">
        <v>465</v>
      </c>
      <c r="D9" s="131">
        <v>57520.660499999904</v>
      </c>
      <c r="E9" s="131">
        <v>57520.660499999904</v>
      </c>
    </row>
    <row r="10" spans="2:5" x14ac:dyDescent="0.25">
      <c r="B10" t="s">
        <v>472</v>
      </c>
    </row>
    <row r="11" spans="2:5" x14ac:dyDescent="0.25">
      <c r="B11" t="s">
        <v>473</v>
      </c>
    </row>
    <row r="12" spans="2:5" x14ac:dyDescent="0.25">
      <c r="B12" t="s">
        <v>474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topLeftCell="H1" workbookViewId="0">
      <selection activeCell="X15" sqref="X15:X16"/>
    </sheetView>
  </sheetViews>
  <sheetFormatPr defaultRowHeight="15" x14ac:dyDescent="0.25"/>
  <cols>
    <col min="1" max="1" width="20" customWidth="1"/>
    <col min="4" max="4" width="10.85546875" customWidth="1"/>
    <col min="6" max="6" width="14.7109375" customWidth="1"/>
    <col min="10" max="10" width="18.7109375" customWidth="1"/>
  </cols>
  <sheetData>
    <row r="1" spans="1:17" x14ac:dyDescent="0.25">
      <c r="A1" s="128" t="s">
        <v>451</v>
      </c>
      <c r="B1" s="128" t="s">
        <v>278</v>
      </c>
      <c r="C1" s="128" t="s">
        <v>452</v>
      </c>
      <c r="D1" s="128" t="s">
        <v>453</v>
      </c>
      <c r="E1" s="128" t="s">
        <v>454</v>
      </c>
      <c r="F1" s="128" t="s">
        <v>455</v>
      </c>
    </row>
    <row r="2" spans="1:17" x14ac:dyDescent="0.25">
      <c r="A2" s="118">
        <v>10</v>
      </c>
      <c r="B2" s="118">
        <v>25.49</v>
      </c>
      <c r="C2" s="118">
        <f>SLOPE(B2:B11,A2:A11)</f>
        <v>1.1958424242424242</v>
      </c>
      <c r="D2" s="118">
        <f>INTERCEPT(B2:B11,A2:A11)</f>
        <v>13.480121212121219</v>
      </c>
      <c r="E2" s="118">
        <f>RSQ(B2:B11,A2:A11)</f>
        <v>0.98586332005758359</v>
      </c>
      <c r="F2" s="118">
        <f>CORREL(B2:B11,A2:A11)</f>
        <v>0.99290650116593726</v>
      </c>
    </row>
    <row r="3" spans="1:17" x14ac:dyDescent="0.25">
      <c r="A3" s="118">
        <v>15</v>
      </c>
      <c r="B3" s="118">
        <v>29.59</v>
      </c>
      <c r="C3" s="118"/>
      <c r="D3" s="118"/>
      <c r="E3" s="118"/>
      <c r="F3" s="118"/>
    </row>
    <row r="4" spans="1:17" x14ac:dyDescent="0.25">
      <c r="A4" s="118">
        <v>20</v>
      </c>
      <c r="B4" s="118">
        <v>37.94</v>
      </c>
      <c r="C4" s="118"/>
      <c r="D4" s="118"/>
      <c r="E4" s="118"/>
      <c r="F4" s="118"/>
    </row>
    <row r="5" spans="1:17" x14ac:dyDescent="0.25">
      <c r="A5" s="118">
        <v>25</v>
      </c>
      <c r="B5" s="118">
        <v>46.57</v>
      </c>
      <c r="C5" s="118"/>
      <c r="D5" s="118"/>
      <c r="E5" s="118"/>
      <c r="F5" s="118"/>
    </row>
    <row r="6" spans="1:17" x14ac:dyDescent="0.25">
      <c r="A6" s="118">
        <v>30</v>
      </c>
      <c r="B6" s="118">
        <v>47.3</v>
      </c>
      <c r="C6" s="118"/>
      <c r="D6" s="118"/>
      <c r="E6" s="118"/>
      <c r="F6" s="118"/>
      <c r="J6" t="s">
        <v>456</v>
      </c>
      <c r="K6">
        <v>25.564737999999998</v>
      </c>
    </row>
    <row r="7" spans="1:17" x14ac:dyDescent="0.25">
      <c r="A7" s="118">
        <v>35</v>
      </c>
      <c r="B7" s="118">
        <v>53.3</v>
      </c>
      <c r="C7" s="118"/>
      <c r="D7" s="118"/>
      <c r="E7" s="118"/>
      <c r="F7" s="118"/>
      <c r="J7" t="s">
        <v>457</v>
      </c>
      <c r="K7">
        <v>2500</v>
      </c>
    </row>
    <row r="8" spans="1:17" ht="15.75" thickBot="1" x14ac:dyDescent="0.3">
      <c r="A8" s="118">
        <v>40</v>
      </c>
      <c r="B8" s="118">
        <v>64.739999999999995</v>
      </c>
      <c r="C8" s="118"/>
      <c r="D8" s="118"/>
      <c r="E8" s="118"/>
      <c r="F8" s="118"/>
      <c r="J8" t="s">
        <v>458</v>
      </c>
      <c r="K8">
        <f>K7*K6</f>
        <v>63911.844999999994</v>
      </c>
    </row>
    <row r="9" spans="1:17" ht="15.75" x14ac:dyDescent="0.25">
      <c r="A9" s="118">
        <v>45</v>
      </c>
      <c r="B9" s="118">
        <v>68.3</v>
      </c>
      <c r="C9" s="118"/>
      <c r="D9" s="118"/>
      <c r="E9" s="118"/>
      <c r="F9" s="118"/>
      <c r="J9" t="s">
        <v>459</v>
      </c>
      <c r="K9">
        <f>K8*10%</f>
        <v>6391.1844999999994</v>
      </c>
      <c r="N9" s="133" t="s">
        <v>468</v>
      </c>
      <c r="O9" s="133"/>
      <c r="P9" s="138"/>
      <c r="Q9" s="138"/>
    </row>
    <row r="10" spans="1:17" ht="15.75" x14ac:dyDescent="0.25">
      <c r="A10" s="118">
        <v>50</v>
      </c>
      <c r="B10" s="118">
        <v>70.59</v>
      </c>
      <c r="C10" s="118"/>
      <c r="D10" s="118"/>
      <c r="E10" s="118"/>
      <c r="F10" s="118"/>
      <c r="J10" t="s">
        <v>460</v>
      </c>
      <c r="K10">
        <f>20*K7</f>
        <v>50000</v>
      </c>
      <c r="N10" s="132"/>
      <c r="O10" s="132"/>
      <c r="P10" s="139" t="s">
        <v>470</v>
      </c>
      <c r="Q10" s="139" t="s">
        <v>466</v>
      </c>
    </row>
    <row r="11" spans="1:17" ht="33.75" x14ac:dyDescent="0.25">
      <c r="A11" s="118">
        <v>55</v>
      </c>
      <c r="B11" s="118">
        <v>79.63</v>
      </c>
      <c r="C11" s="118"/>
      <c r="D11" s="118"/>
      <c r="E11" s="118"/>
      <c r="F11" s="118"/>
      <c r="J11" t="s">
        <v>461</v>
      </c>
      <c r="K11">
        <f>K9+K10</f>
        <v>56391.184500000003</v>
      </c>
      <c r="N11" s="135"/>
      <c r="O11" s="135"/>
      <c r="P11" s="130"/>
      <c r="Q11" s="141" t="s">
        <v>467</v>
      </c>
    </row>
    <row r="12" spans="1:17" x14ac:dyDescent="0.25">
      <c r="J12" t="s">
        <v>432</v>
      </c>
      <c r="K12">
        <f>K8-K9</f>
        <v>57520.660499999998</v>
      </c>
      <c r="N12" s="136" t="s">
        <v>469</v>
      </c>
      <c r="O12" s="136"/>
      <c r="P12" s="134"/>
      <c r="Q12" s="134"/>
    </row>
    <row r="13" spans="1:17" x14ac:dyDescent="0.25">
      <c r="N13" s="135"/>
      <c r="O13" s="135" t="s">
        <v>463</v>
      </c>
      <c r="P13" s="130">
        <v>2500</v>
      </c>
      <c r="Q13" s="140">
        <v>2500</v>
      </c>
    </row>
    <row r="14" spans="1:17" x14ac:dyDescent="0.25">
      <c r="A14" t="s">
        <v>462</v>
      </c>
      <c r="N14" s="136" t="s">
        <v>471</v>
      </c>
      <c r="O14" s="136"/>
      <c r="P14" s="134"/>
      <c r="Q14" s="134"/>
    </row>
    <row r="15" spans="1:17" x14ac:dyDescent="0.25">
      <c r="N15" s="135"/>
      <c r="O15" s="135" t="s">
        <v>464</v>
      </c>
      <c r="P15" s="130">
        <v>56391.184500000003</v>
      </c>
      <c r="Q15" s="130">
        <v>56391.184500000003</v>
      </c>
    </row>
    <row r="16" spans="1:17" ht="15.75" thickBot="1" x14ac:dyDescent="0.3">
      <c r="N16" s="137"/>
      <c r="O16" s="137" t="s">
        <v>465</v>
      </c>
      <c r="P16" s="131">
        <v>57520.660499999904</v>
      </c>
      <c r="Q16" s="131">
        <v>57520.660499999904</v>
      </c>
    </row>
    <row r="17" spans="14:14" x14ac:dyDescent="0.25">
      <c r="N17" t="s">
        <v>472</v>
      </c>
    </row>
    <row r="18" spans="14:14" x14ac:dyDescent="0.25">
      <c r="N18" t="s">
        <v>473</v>
      </c>
    </row>
    <row r="19" spans="14:14" x14ac:dyDescent="0.25">
      <c r="N19" t="s">
        <v>474</v>
      </c>
    </row>
  </sheetData>
  <scenarios current="0" show="0" sqref="K11 K12">
    <scenario name="200 QTY" locked="1" count="1" user="DELL" comment="Created by DELL on 10/16/2025">
      <inputCells r="K7" val="2500"/>
    </scenario>
  </scenario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1"/>
  <sheetViews>
    <sheetView workbookViewId="0">
      <selection activeCell="J8" sqref="J8"/>
    </sheetView>
  </sheetViews>
  <sheetFormatPr defaultRowHeight="15" x14ac:dyDescent="0.25"/>
  <cols>
    <col min="1" max="1" width="11.85546875" customWidth="1"/>
    <col min="2" max="2" width="10.7109375" customWidth="1"/>
    <col min="3" max="3" width="14.7109375" customWidth="1"/>
    <col min="4" max="4" width="12.85546875" customWidth="1"/>
  </cols>
  <sheetData>
    <row r="1" spans="1:8" x14ac:dyDescent="0.25">
      <c r="A1" s="169" t="s">
        <v>475</v>
      </c>
      <c r="B1" s="169"/>
      <c r="C1" s="169"/>
      <c r="D1" s="169"/>
    </row>
    <row r="2" spans="1:8" x14ac:dyDescent="0.25">
      <c r="A2" t="s">
        <v>34</v>
      </c>
      <c r="B2" t="s">
        <v>47</v>
      </c>
      <c r="C2" t="s">
        <v>116</v>
      </c>
      <c r="D2" t="s">
        <v>46</v>
      </c>
      <c r="E2" t="s">
        <v>49</v>
      </c>
    </row>
    <row r="3" spans="1:8" x14ac:dyDescent="0.25">
      <c r="A3" t="s">
        <v>476</v>
      </c>
      <c r="B3" s="129">
        <v>82</v>
      </c>
      <c r="C3" s="129">
        <v>89</v>
      </c>
      <c r="D3" s="129">
        <v>91</v>
      </c>
      <c r="E3" s="129">
        <v>92</v>
      </c>
    </row>
    <row r="4" spans="1:8" x14ac:dyDescent="0.25">
      <c r="A4" t="s">
        <v>477</v>
      </c>
      <c r="B4" s="129">
        <v>76</v>
      </c>
      <c r="C4" s="129">
        <v>98</v>
      </c>
      <c r="D4" s="129">
        <v>95</v>
      </c>
      <c r="E4" s="129">
        <v>88</v>
      </c>
    </row>
    <row r="5" spans="1:8" x14ac:dyDescent="0.25">
      <c r="A5" t="s">
        <v>479</v>
      </c>
      <c r="B5" s="129">
        <v>64</v>
      </c>
      <c r="C5" s="129">
        <v>35</v>
      </c>
      <c r="D5" s="129">
        <v>85</v>
      </c>
      <c r="E5" s="129">
        <v>79</v>
      </c>
    </row>
    <row r="6" spans="1:8" x14ac:dyDescent="0.25">
      <c r="A6" t="s">
        <v>478</v>
      </c>
      <c r="B6" s="129">
        <v>53</v>
      </c>
      <c r="C6" s="129">
        <v>67</v>
      </c>
      <c r="D6" s="129">
        <v>72</v>
      </c>
      <c r="E6" s="129">
        <v>86</v>
      </c>
    </row>
    <row r="7" spans="1:8" x14ac:dyDescent="0.25">
      <c r="A7" t="s">
        <v>480</v>
      </c>
      <c r="B7" s="129">
        <v>42</v>
      </c>
      <c r="C7" s="129">
        <v>56</v>
      </c>
      <c r="D7" s="129">
        <v>66</v>
      </c>
      <c r="E7" s="129">
        <v>94</v>
      </c>
    </row>
    <row r="8" spans="1:8" x14ac:dyDescent="0.25">
      <c r="A8" t="s">
        <v>481</v>
      </c>
      <c r="B8" s="129">
        <v>35</v>
      </c>
      <c r="C8" s="129">
        <v>65</v>
      </c>
      <c r="D8" s="129">
        <v>65</v>
      </c>
      <c r="E8" s="129">
        <v>84</v>
      </c>
    </row>
    <row r="9" spans="1:8" x14ac:dyDescent="0.25">
      <c r="A9" t="s">
        <v>482</v>
      </c>
      <c r="B9" s="129">
        <v>45</v>
      </c>
      <c r="C9" s="129">
        <v>45</v>
      </c>
      <c r="D9" s="129">
        <v>74</v>
      </c>
      <c r="E9" s="129">
        <v>35</v>
      </c>
    </row>
    <row r="10" spans="1:8" x14ac:dyDescent="0.25">
      <c r="A10" t="s">
        <v>483</v>
      </c>
      <c r="B10" s="129">
        <v>94</v>
      </c>
      <c r="C10" s="129">
        <v>54</v>
      </c>
      <c r="D10" s="129">
        <v>84</v>
      </c>
      <c r="E10" s="129">
        <v>90</v>
      </c>
    </row>
    <row r="11" spans="1:8" x14ac:dyDescent="0.25">
      <c r="A11" t="s">
        <v>484</v>
      </c>
      <c r="B11" s="129">
        <v>58</v>
      </c>
      <c r="C11" s="129">
        <v>78</v>
      </c>
      <c r="D11" s="129">
        <v>35</v>
      </c>
      <c r="E11" s="129">
        <v>54</v>
      </c>
    </row>
    <row r="12" spans="1:8" x14ac:dyDescent="0.25">
      <c r="A12" t="s">
        <v>485</v>
      </c>
      <c r="B12" s="129">
        <v>96</v>
      </c>
      <c r="C12" s="129">
        <v>35</v>
      </c>
      <c r="D12" s="129">
        <v>85</v>
      </c>
      <c r="E12" s="129">
        <v>58</v>
      </c>
    </row>
    <row r="14" spans="1:8" x14ac:dyDescent="0.25">
      <c r="A14" t="s">
        <v>486</v>
      </c>
      <c r="B14" t="s">
        <v>487</v>
      </c>
      <c r="C14" t="s">
        <v>488</v>
      </c>
      <c r="D14" t="s">
        <v>489</v>
      </c>
      <c r="E14" s="22" t="s">
        <v>490</v>
      </c>
      <c r="F14" s="22"/>
      <c r="G14" s="22"/>
      <c r="H14" s="22" t="s">
        <v>491</v>
      </c>
    </row>
    <row r="15" spans="1:8" x14ac:dyDescent="0.25">
      <c r="A15" t="s">
        <v>492</v>
      </c>
      <c r="B15" s="129">
        <v>1200</v>
      </c>
      <c r="C15" s="129">
        <v>150</v>
      </c>
      <c r="D15" s="129">
        <v>40000</v>
      </c>
      <c r="E15" s="129"/>
      <c r="F15" s="129">
        <v>80</v>
      </c>
      <c r="G15" s="129"/>
      <c r="H15" s="129">
        <v>44000</v>
      </c>
    </row>
    <row r="16" spans="1:8" x14ac:dyDescent="0.25">
      <c r="A16" t="s">
        <v>493</v>
      </c>
      <c r="B16" s="129">
        <v>1000</v>
      </c>
      <c r="C16" s="129">
        <v>160</v>
      </c>
      <c r="D16" s="129">
        <v>40000</v>
      </c>
      <c r="E16" s="129"/>
      <c r="F16" s="129">
        <v>85</v>
      </c>
      <c r="G16" s="129"/>
      <c r="H16" s="129">
        <v>35000</v>
      </c>
    </row>
    <row r="17" spans="1:8" x14ac:dyDescent="0.25">
      <c r="A17" t="s">
        <v>494</v>
      </c>
      <c r="B17" s="129">
        <v>1400</v>
      </c>
      <c r="C17" s="129">
        <v>155</v>
      </c>
      <c r="D17" s="129">
        <v>92000</v>
      </c>
      <c r="E17" s="129"/>
      <c r="F17" s="129">
        <v>82</v>
      </c>
      <c r="G17" s="129"/>
      <c r="H17" s="129">
        <v>10000</v>
      </c>
    </row>
    <row r="18" spans="1:8" x14ac:dyDescent="0.25">
      <c r="A18" t="s">
        <v>495</v>
      </c>
      <c r="B18" s="129">
        <v>1300</v>
      </c>
      <c r="C18" s="129">
        <v>150</v>
      </c>
      <c r="D18" s="129">
        <v>40000</v>
      </c>
      <c r="E18" s="129"/>
      <c r="F18" s="129">
        <v>80</v>
      </c>
      <c r="G18" s="129"/>
      <c r="H18" s="129">
        <v>51000</v>
      </c>
    </row>
    <row r="19" spans="1:8" x14ac:dyDescent="0.25">
      <c r="A19" t="s">
        <v>496</v>
      </c>
      <c r="B19" s="129">
        <v>1100</v>
      </c>
      <c r="C19" s="129">
        <v>165</v>
      </c>
      <c r="D19" s="129">
        <v>40000</v>
      </c>
      <c r="E19" s="129"/>
      <c r="F19" s="129">
        <v>83</v>
      </c>
      <c r="G19" s="129"/>
      <c r="H19" s="129">
        <v>50200</v>
      </c>
    </row>
    <row r="20" spans="1:8" x14ac:dyDescent="0.25">
      <c r="A20" t="s">
        <v>497</v>
      </c>
      <c r="B20" s="129">
        <v>1500</v>
      </c>
      <c r="C20" s="129">
        <v>170</v>
      </c>
      <c r="D20" s="129">
        <v>40000</v>
      </c>
      <c r="E20" s="129"/>
      <c r="F20" s="129">
        <v>90</v>
      </c>
      <c r="G20" s="129"/>
      <c r="H20" s="129">
        <v>80000</v>
      </c>
    </row>
    <row r="21" spans="1:8" x14ac:dyDescent="0.25">
      <c r="B21" s="129"/>
      <c r="C21" s="129"/>
      <c r="D21" s="129"/>
      <c r="E21" s="129"/>
      <c r="F21" s="129"/>
      <c r="G21" s="129"/>
      <c r="H21" s="129"/>
    </row>
  </sheetData>
  <mergeCells count="1">
    <mergeCell ref="A1:D1"/>
  </mergeCells>
  <conditionalFormatting sqref="B3:E12">
    <cfRule type="cellIs" dxfId="25" priority="1" operator="lessThan">
      <formula>50</formula>
    </cfRule>
    <cfRule type="cellIs" dxfId="24" priority="2" operator="greaterThan">
      <formula>80</formula>
    </cfRule>
    <cfRule type="cellIs" dxfId="23" priority="3" operator="lessThan">
      <formula>50</formula>
    </cfRule>
    <cfRule type="cellIs" dxfId="22" priority="4" operator="greaterThan">
      <formula>80</formula>
    </cfRule>
    <cfRule type="cellIs" dxfId="21" priority="5" operator="lessThan">
      <formula>50</formula>
    </cfRule>
    <cfRule type="cellIs" dxfId="20" priority="6" operator="greaterThan">
      <formula>80</formula>
    </cfRule>
    <cfRule type="cellIs" dxfId="19" priority="7" operator="lessThan">
      <formula>50</formula>
    </cfRule>
    <cfRule type="cellIs" dxfId="18" priority="8" operator="greaterThan">
      <formula>80</formula>
    </cfRule>
    <cfRule type="cellIs" dxfId="17" priority="9" operator="lessThan">
      <formula>50</formula>
    </cfRule>
    <cfRule type="cellIs" dxfId="16" priority="10" operator="greaterThan">
      <formula>80</formula>
    </cfRule>
    <cfRule type="cellIs" dxfId="15" priority="11" operator="lessThan">
      <formula>50</formula>
    </cfRule>
    <cfRule type="cellIs" dxfId="14" priority="12" operator="greaterThan">
      <formula>80</formula>
    </cfRule>
    <cfRule type="cellIs" dxfId="13" priority="13" operator="lessThan">
      <formula>50</formula>
    </cfRule>
    <cfRule type="cellIs" dxfId="12" priority="14" operator="greaterThan">
      <formula>80</formula>
    </cfRule>
    <cfRule type="cellIs" dxfId="11" priority="15" operator="lessThan">
      <formula>50</formula>
    </cfRule>
    <cfRule type="cellIs" dxfId="10" priority="16" operator="greaterThan">
      <formula>80</formula>
    </cfRule>
    <cfRule type="cellIs" dxfId="9" priority="17" operator="lessThan">
      <formula>50</formula>
    </cfRule>
    <cfRule type="cellIs" dxfId="8" priority="18" operator="greaterThan">
      <formula>80</formula>
    </cfRule>
    <cfRule type="cellIs" dxfId="7" priority="19" operator="lessThan">
      <formula>50</formula>
    </cfRule>
    <cfRule type="cellIs" dxfId="6" priority="20" operator="greaterThan">
      <formula>80</formula>
    </cfRule>
    <cfRule type="cellIs" dxfId="5" priority="21" operator="lessThan">
      <formula>50</formula>
    </cfRule>
    <cfRule type="cellIs" dxfId="4" priority="22" operator="greaterThan">
      <formula>80</formula>
    </cfRule>
    <cfRule type="cellIs" dxfId="3" priority="23" operator="lessThan">
      <formula>50</formula>
    </cfRule>
    <cfRule type="cellIs" dxfId="2" priority="24" operator="greaterThan">
      <formula>80</formula>
    </cfRule>
    <cfRule type="cellIs" dxfId="1" priority="25" operator="lessThan">
      <formula>50</formula>
    </cfRule>
    <cfRule type="cellIs" dxfId="0" priority="26" operator="greaterThan">
      <formula>80</formula>
    </cfRule>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Button 1">
              <controlPr defaultSize="0" print="0" autoFill="0" autoPict="0" macro="[0]!ABC">
                <anchor moveWithCells="1" sizeWithCells="1">
                  <from>
                    <xdr:col>10</xdr:col>
                    <xdr:colOff>266700</xdr:colOff>
                    <xdr:row>8</xdr:row>
                    <xdr:rowOff>38100</xdr:rowOff>
                  </from>
                  <to>
                    <xdr:col>13</xdr:col>
                    <xdr:colOff>190500</xdr:colOff>
                    <xdr:row>10</xdr:row>
                    <xdr:rowOff>104775</xdr:rowOff>
                  </to>
                </anchor>
              </controlPr>
            </control>
          </mc:Choice>
        </mc:AlternateContent>
        <mc:AlternateContent xmlns:mc="http://schemas.openxmlformats.org/markup-compatibility/2006">
          <mc:Choice Requires="x14">
            <control shapeId="7170" r:id="rId5" name="Button 2">
              <controlPr defaultSize="0" print="0" autoFill="0" autoPict="0" macro="[0]!IPL">
                <anchor moveWithCells="1" sizeWithCells="1">
                  <from>
                    <xdr:col>10</xdr:col>
                    <xdr:colOff>552450</xdr:colOff>
                    <xdr:row>13</xdr:row>
                    <xdr:rowOff>161925</xdr:rowOff>
                  </from>
                  <to>
                    <xdr:col>17</xdr:col>
                    <xdr:colOff>133350</xdr:colOff>
                    <xdr:row>13</xdr:row>
                    <xdr:rowOff>161925</xdr:rowOff>
                  </to>
                </anchor>
              </controlPr>
            </control>
          </mc:Choice>
        </mc:AlternateContent>
        <mc:AlternateContent xmlns:mc="http://schemas.openxmlformats.org/markup-compatibility/2006">
          <mc:Choice Requires="x14">
            <control shapeId="7171" r:id="rId6" name="Button 3">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2" r:id="rId7" name="Button 4">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3" r:id="rId8" name="Button 5">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4" r:id="rId9" name="Button 6">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5" r:id="rId10" name="Button 7">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6" r:id="rId11" name="Button 8">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7" r:id="rId12" name="Button 9">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8" r:id="rId13" name="Button 10">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79" r:id="rId14" name="Button 11">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80" r:id="rId15" name="Button 12">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81" r:id="rId16" name="Button 13">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82" r:id="rId17" name="Button 14">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mc:AlternateContent xmlns:mc="http://schemas.openxmlformats.org/markup-compatibility/2006">
          <mc:Choice Requires="x14">
            <control shapeId="7183" r:id="rId18" name="Button 15">
              <controlPr defaultSize="0" print="0" autoFill="0" autoPict="0" macro="[0]!IPL">
                <anchor moveWithCells="1" sizeWithCells="1">
                  <from>
                    <xdr:col>10</xdr:col>
                    <xdr:colOff>552450</xdr:colOff>
                    <xdr:row>13</xdr:row>
                    <xdr:rowOff>161925</xdr:rowOff>
                  </from>
                  <to>
                    <xdr:col>13</xdr:col>
                    <xdr:colOff>114300</xdr:colOff>
                    <xdr:row>17</xdr:row>
                    <xdr:rowOff>104775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2"/>
  <sheetViews>
    <sheetView workbookViewId="0">
      <selection activeCell="P39" sqref="P39"/>
    </sheetView>
  </sheetViews>
  <sheetFormatPr defaultRowHeight="15" x14ac:dyDescent="0.25"/>
  <cols>
    <col min="3" max="3" width="12.85546875" customWidth="1"/>
    <col min="5" max="5" width="11.85546875" customWidth="1"/>
    <col min="6" max="6" width="11.140625" customWidth="1"/>
    <col min="7" max="7" width="9.7109375" bestFit="1" customWidth="1"/>
    <col min="8" max="8" width="22.42578125" customWidth="1"/>
  </cols>
  <sheetData>
    <row r="2" spans="1:8" x14ac:dyDescent="0.25">
      <c r="A2" s="128" t="s">
        <v>125</v>
      </c>
      <c r="B2" s="128" t="s">
        <v>34</v>
      </c>
      <c r="C2" s="170" t="s">
        <v>498</v>
      </c>
      <c r="D2" s="170"/>
      <c r="E2" s="128" t="s">
        <v>499</v>
      </c>
      <c r="F2" s="128" t="s">
        <v>500</v>
      </c>
      <c r="G2" s="128" t="s">
        <v>501</v>
      </c>
      <c r="H2" s="128" t="s">
        <v>502</v>
      </c>
    </row>
    <row r="3" spans="1:8" x14ac:dyDescent="0.25">
      <c r="A3" s="142">
        <v>101</v>
      </c>
      <c r="B3" s="142" t="s">
        <v>510</v>
      </c>
      <c r="C3" s="142" t="s">
        <v>296</v>
      </c>
      <c r="D3" s="142">
        <v>45000</v>
      </c>
      <c r="E3" s="142" t="s">
        <v>515</v>
      </c>
      <c r="F3" s="142" t="s">
        <v>518</v>
      </c>
      <c r="G3" s="142" t="s">
        <v>525</v>
      </c>
      <c r="H3" s="142" t="s">
        <v>530</v>
      </c>
    </row>
    <row r="4" spans="1:8" x14ac:dyDescent="0.25">
      <c r="A4" s="142">
        <v>102</v>
      </c>
      <c r="B4" s="142" t="s">
        <v>511</v>
      </c>
      <c r="C4" s="142" t="s">
        <v>278</v>
      </c>
      <c r="D4" s="142">
        <v>120000</v>
      </c>
      <c r="E4" s="142" t="s">
        <v>516</v>
      </c>
      <c r="F4" s="143">
        <v>44900</v>
      </c>
      <c r="G4" s="142" t="s">
        <v>528</v>
      </c>
      <c r="H4" s="142" t="s">
        <v>529</v>
      </c>
    </row>
    <row r="5" spans="1:8" x14ac:dyDescent="0.25">
      <c r="A5" s="142">
        <v>103</v>
      </c>
      <c r="B5" s="142" t="s">
        <v>503</v>
      </c>
      <c r="C5" s="142" t="s">
        <v>296</v>
      </c>
      <c r="D5" s="142">
        <v>9800</v>
      </c>
      <c r="E5" s="142" t="s">
        <v>515</v>
      </c>
      <c r="F5" s="142" t="s">
        <v>519</v>
      </c>
      <c r="G5" s="142" t="s">
        <v>527</v>
      </c>
      <c r="H5" s="142" t="s">
        <v>531</v>
      </c>
    </row>
    <row r="6" spans="1:8" x14ac:dyDescent="0.25">
      <c r="A6" s="142">
        <v>104</v>
      </c>
      <c r="B6" s="142" t="s">
        <v>504</v>
      </c>
      <c r="C6" s="142" t="s">
        <v>514</v>
      </c>
      <c r="D6" s="142">
        <v>60000</v>
      </c>
      <c r="E6" s="142" t="s">
        <v>516</v>
      </c>
      <c r="F6" s="142" t="s">
        <v>520</v>
      </c>
      <c r="G6" s="142" t="s">
        <v>526</v>
      </c>
      <c r="H6" s="142" t="s">
        <v>532</v>
      </c>
    </row>
    <row r="7" spans="1:8" x14ac:dyDescent="0.25">
      <c r="A7" s="142">
        <v>105</v>
      </c>
      <c r="B7" s="142" t="s">
        <v>505</v>
      </c>
      <c r="C7" s="142" t="s">
        <v>278</v>
      </c>
      <c r="D7" s="142">
        <v>150000</v>
      </c>
      <c r="E7" s="142" t="s">
        <v>515</v>
      </c>
      <c r="F7" s="142" t="s">
        <v>521</v>
      </c>
      <c r="G7" s="143">
        <v>45997</v>
      </c>
      <c r="H7" s="142" t="s">
        <v>530</v>
      </c>
    </row>
    <row r="8" spans="1:8" x14ac:dyDescent="0.25">
      <c r="A8" s="142">
        <v>106</v>
      </c>
      <c r="B8" s="142" t="s">
        <v>506</v>
      </c>
      <c r="C8" s="142" t="s">
        <v>297</v>
      </c>
      <c r="D8" s="142">
        <v>40000</v>
      </c>
      <c r="E8" s="142" t="s">
        <v>517</v>
      </c>
      <c r="F8" s="142" t="s">
        <v>522</v>
      </c>
      <c r="G8" s="143">
        <v>45968</v>
      </c>
      <c r="H8" s="142" t="s">
        <v>531</v>
      </c>
    </row>
    <row r="9" spans="1:8" x14ac:dyDescent="0.25">
      <c r="A9" s="142">
        <v>107</v>
      </c>
      <c r="B9" s="142" t="s">
        <v>507</v>
      </c>
      <c r="C9" s="142" t="s">
        <v>513</v>
      </c>
      <c r="D9" s="142">
        <v>5500</v>
      </c>
      <c r="E9" s="142" t="s">
        <v>516</v>
      </c>
      <c r="F9" s="143">
        <v>45877</v>
      </c>
      <c r="G9" s="143">
        <v>45938</v>
      </c>
      <c r="H9" s="142" t="s">
        <v>529</v>
      </c>
    </row>
    <row r="10" spans="1:8" x14ac:dyDescent="0.25">
      <c r="A10" s="142">
        <v>108</v>
      </c>
      <c r="B10" s="142" t="s">
        <v>508</v>
      </c>
      <c r="C10" s="142" t="s">
        <v>297</v>
      </c>
      <c r="D10" s="142">
        <v>85000</v>
      </c>
      <c r="E10" s="142" t="s">
        <v>515</v>
      </c>
      <c r="F10" s="142" t="s">
        <v>523</v>
      </c>
      <c r="G10" s="143">
        <v>45909</v>
      </c>
      <c r="H10" s="142" t="s">
        <v>532</v>
      </c>
    </row>
    <row r="11" spans="1:8" x14ac:dyDescent="0.25">
      <c r="A11" s="142">
        <v>109</v>
      </c>
      <c r="B11" s="142" t="s">
        <v>509</v>
      </c>
      <c r="C11" s="142" t="s">
        <v>514</v>
      </c>
      <c r="D11" s="142">
        <v>30000</v>
      </c>
      <c r="E11" s="142" t="s">
        <v>517</v>
      </c>
      <c r="F11" s="143">
        <v>43383</v>
      </c>
      <c r="G11" s="143">
        <v>45879</v>
      </c>
      <c r="H11" s="142" t="s">
        <v>529</v>
      </c>
    </row>
    <row r="12" spans="1:8" x14ac:dyDescent="0.25">
      <c r="A12" s="142">
        <v>110</v>
      </c>
      <c r="B12" s="142" t="s">
        <v>512</v>
      </c>
      <c r="C12" s="142" t="s">
        <v>513</v>
      </c>
      <c r="D12" s="142">
        <v>110000</v>
      </c>
      <c r="E12" s="142" t="s">
        <v>517</v>
      </c>
      <c r="F12" s="142" t="s">
        <v>524</v>
      </c>
      <c r="G12" s="143">
        <v>45848</v>
      </c>
      <c r="H12" s="142" t="s">
        <v>530</v>
      </c>
    </row>
  </sheetData>
  <mergeCells count="1">
    <mergeCell ref="C2:D2"/>
  </mergeCells>
  <dataValidations count="3">
    <dataValidation type="list" allowBlank="1" showInputMessage="1" showErrorMessage="1" sqref="C3:C12">
      <formula1>"HR,IT,FINANCE,MARKETING,SALES"</formula1>
    </dataValidation>
    <dataValidation type="list" allowBlank="1" showInputMessage="1" showErrorMessage="1" sqref="E3:E12">
      <formula1>"COMPLETED,INPROCESS,OVERDUE"</formula1>
    </dataValidation>
    <dataValidation type="list" allowBlank="1" showInputMessage="1" showErrorMessage="1" sqref="H3:H12">
      <formula1>"ONTIME,FOLLOW UP,EXCELLENT PERFORMER,CLIENT SATISFIED,NEED REVIEW"</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abSelected="1" workbookViewId="0">
      <selection activeCell="A14" sqref="A14"/>
    </sheetView>
  </sheetViews>
  <sheetFormatPr defaultRowHeight="15" x14ac:dyDescent="0.25"/>
  <cols>
    <col min="1" max="1" width="14.42578125" customWidth="1"/>
    <col min="2" max="2" width="16.28515625" customWidth="1"/>
    <col min="3" max="3" width="13.140625" customWidth="1"/>
    <col min="4" max="4" width="13.85546875" customWidth="1"/>
  </cols>
  <sheetData>
    <row r="1" spans="1:4" x14ac:dyDescent="0.25">
      <c r="A1" s="144" t="s">
        <v>533</v>
      </c>
      <c r="B1" s="144" t="s">
        <v>534</v>
      </c>
      <c r="C1" s="144" t="s">
        <v>535</v>
      </c>
      <c r="D1" s="144" t="s">
        <v>536</v>
      </c>
    </row>
    <row r="2" spans="1:4" x14ac:dyDescent="0.25">
      <c r="A2" s="144" t="s">
        <v>549</v>
      </c>
      <c r="B2" s="144" t="s">
        <v>537</v>
      </c>
      <c r="C2" s="144" t="s">
        <v>541</v>
      </c>
      <c r="D2" s="144" t="s">
        <v>546</v>
      </c>
    </row>
    <row r="3" spans="1:4" x14ac:dyDescent="0.25">
      <c r="A3" s="144" t="s">
        <v>550</v>
      </c>
      <c r="B3" s="144" t="s">
        <v>538</v>
      </c>
      <c r="C3" s="144" t="s">
        <v>542</v>
      </c>
      <c r="D3" s="144" t="s">
        <v>547</v>
      </c>
    </row>
    <row r="4" spans="1:4" x14ac:dyDescent="0.25">
      <c r="A4" s="144" t="s">
        <v>551</v>
      </c>
      <c r="B4" s="144" t="s">
        <v>539</v>
      </c>
      <c r="C4" s="144" t="s">
        <v>543</v>
      </c>
      <c r="D4" s="144" t="s">
        <v>546</v>
      </c>
    </row>
    <row r="5" spans="1:4" x14ac:dyDescent="0.25">
      <c r="A5" s="144" t="s">
        <v>552</v>
      </c>
      <c r="B5" s="144" t="s">
        <v>540</v>
      </c>
      <c r="C5" s="144" t="s">
        <v>544</v>
      </c>
      <c r="D5" s="144" t="s">
        <v>548</v>
      </c>
    </row>
    <row r="6" spans="1:4" x14ac:dyDescent="0.25">
      <c r="A6" s="144" t="s">
        <v>553</v>
      </c>
      <c r="B6" s="144" t="s">
        <v>22</v>
      </c>
      <c r="C6" s="144" t="s">
        <v>545</v>
      </c>
      <c r="D6" s="144" t="s">
        <v>546</v>
      </c>
    </row>
    <row r="8" spans="1:4" x14ac:dyDescent="0.25">
      <c r="A8" s="144" t="s">
        <v>554</v>
      </c>
      <c r="B8" s="144" t="s">
        <v>555</v>
      </c>
      <c r="C8" s="144" t="s">
        <v>556</v>
      </c>
      <c r="D8" s="144" t="s">
        <v>557</v>
      </c>
    </row>
    <row r="9" spans="1:4" x14ac:dyDescent="0.25">
      <c r="A9" s="144" t="s">
        <v>564</v>
      </c>
      <c r="B9" s="144" t="s">
        <v>558</v>
      </c>
      <c r="C9" s="144" t="s">
        <v>559</v>
      </c>
      <c r="D9">
        <v>150</v>
      </c>
    </row>
    <row r="10" spans="1:4" x14ac:dyDescent="0.25">
      <c r="A10" s="144" t="s">
        <v>565</v>
      </c>
      <c r="B10" s="144" t="s">
        <v>560</v>
      </c>
      <c r="C10" s="144" t="s">
        <v>559</v>
      </c>
      <c r="D10">
        <v>250</v>
      </c>
    </row>
    <row r="11" spans="1:4" x14ac:dyDescent="0.25">
      <c r="A11" s="144" t="s">
        <v>566</v>
      </c>
      <c r="B11" s="144" t="s">
        <v>561</v>
      </c>
      <c r="C11" s="144" t="s">
        <v>559</v>
      </c>
      <c r="D11">
        <v>300</v>
      </c>
    </row>
    <row r="12" spans="1:4" x14ac:dyDescent="0.25">
      <c r="A12" s="144" t="s">
        <v>567</v>
      </c>
      <c r="B12" s="144" t="s">
        <v>562</v>
      </c>
      <c r="C12" s="144" t="s">
        <v>563</v>
      </c>
      <c r="D1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Vlookup</vt:lpstr>
      <vt:lpstr>Date Functions</vt:lpstr>
      <vt:lpstr>Arithmetic logical functions</vt:lpstr>
      <vt:lpstr>Task</vt:lpstr>
      <vt:lpstr>Concatenate</vt:lpstr>
      <vt:lpstr>Pivot</vt:lpstr>
      <vt:lpstr>Database functions</vt:lpstr>
      <vt:lpstr>Worksheet</vt:lpstr>
      <vt:lpstr>Charts</vt:lpstr>
      <vt:lpstr>DATA VISUALIZATION</vt:lpstr>
      <vt:lpstr>PIE CHART</vt:lpstr>
      <vt:lpstr>Data tab</vt:lpstr>
      <vt:lpstr>Payment functions</vt:lpstr>
      <vt:lpstr>statistical analysis</vt:lpstr>
      <vt:lpstr>dynamic and advance set</vt:lpstr>
      <vt:lpstr>Scenario Summary</vt:lpstr>
      <vt:lpstr>Sheet2</vt:lpstr>
      <vt:lpstr>Sheet3</vt:lpstr>
      <vt:lpstr>Sheet1</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cp:lastPrinted>2025-10-16T05:46:04Z</cp:lastPrinted>
  <dcterms:created xsi:type="dcterms:W3CDTF">2025-09-22T04:16:39Z</dcterms:created>
  <dcterms:modified xsi:type="dcterms:W3CDTF">2026-01-20T10:02:04Z</dcterms:modified>
</cp:coreProperties>
</file>